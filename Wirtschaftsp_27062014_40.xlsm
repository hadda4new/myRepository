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updateLinks="always" codeName="DieseArbeitsmappe" hidePivotFieldList="1" defaultThemeVersion="124226"/>
  <bookViews>
    <workbookView xWindow="7200" yWindow="-105" windowWidth="17265" windowHeight="11310" tabRatio="845"/>
  </bookViews>
  <sheets>
    <sheet name="START" sheetId="17" r:id="rId1"/>
    <sheet name="Grafiken" sheetId="11" r:id="rId2"/>
    <sheet name="Gewinn" sheetId="10" r:id="rId3"/>
    <sheet name="Warenbestand" sheetId="1" r:id="rId4"/>
    <sheet name="Kasse" sheetId="8" r:id="rId5"/>
    <sheet name="OffenePosten" sheetId="4" r:id="rId6"/>
    <sheet name="Betriebseinnahmen" sheetId="5" r:id="rId7"/>
    <sheet name="B-Ausgaben-WE" sheetId="16" r:id="rId8"/>
    <sheet name="B-Ausgaben-Jaehrlich" sheetId="12" r:id="rId9"/>
    <sheet name="Ware-Verschenkt" sheetId="18" r:id="rId10"/>
    <sheet name="Steuer" sheetId="14" r:id="rId11"/>
    <sheet name="WerWannWas" sheetId="15" r:id="rId12"/>
    <sheet name="Kundenliste" sheetId="2" r:id="rId13"/>
  </sheets>
  <functionGroups/>
  <definedNames>
    <definedName name="_xlnm._FilterDatabase" localSheetId="7" hidden="1">'B-Ausgaben-WE'!$A$9:$A$29</definedName>
    <definedName name="_xlnm._FilterDatabase" localSheetId="6" hidden="1">Betriebseinnahmen!$A$9:$A$108</definedName>
    <definedName name="_xlnm._FilterDatabase" localSheetId="2" hidden="1">Gewinn!$A$9:$B$194</definedName>
    <definedName name="_xlnm._FilterDatabase" localSheetId="9" hidden="1">'Ware-Verschenkt'!$A$5:$E$10</definedName>
    <definedName name="_xlnm._FilterDatabase" localSheetId="11" hidden="1">WerWannWas!$A$9:$B$123</definedName>
  </definedNames>
  <calcPr calcId="125725"/>
</workbook>
</file>

<file path=xl/calcChain.xml><?xml version="1.0" encoding="utf-8"?>
<calcChain xmlns="http://schemas.openxmlformats.org/spreadsheetml/2006/main">
  <c r="E2" i="18"/>
  <c r="J3" i="10"/>
  <c r="AO2"/>
  <c r="P152" i="11" s="1"/>
  <c r="AK2" i="10"/>
  <c r="AG2"/>
  <c r="AC2"/>
  <c r="Y2"/>
  <c r="AK3" l="1"/>
  <c r="AG3"/>
  <c r="P79" i="11" s="1"/>
  <c r="AC3" i="10"/>
  <c r="P42" i="11" s="1"/>
  <c r="Y3" i="10"/>
  <c r="AO3"/>
  <c r="P153" i="11" s="1"/>
  <c r="AK4" i="10" l="1"/>
  <c r="P117" i="11" s="1"/>
  <c r="P116"/>
  <c r="Y4" i="10"/>
  <c r="Y5" s="1"/>
  <c r="AO4"/>
  <c r="AC4"/>
  <c r="P43" i="11" s="1"/>
  <c r="AG4" i="10"/>
  <c r="P80" i="11" s="1"/>
  <c r="AK5" i="10" l="1"/>
  <c r="P118" i="11" s="1"/>
  <c r="AO5" i="10"/>
  <c r="P155" i="11" s="1"/>
  <c r="P154"/>
  <c r="AG5" i="10"/>
  <c r="P81" i="11" s="1"/>
  <c r="Y6" i="10"/>
  <c r="Y7" s="1"/>
  <c r="AC5"/>
  <c r="P44" i="11" s="1"/>
  <c r="AK6" i="10" l="1"/>
  <c r="P119" i="11" s="1"/>
  <c r="AO6" i="10"/>
  <c r="P156" i="11" s="1"/>
  <c r="Y8" i="10"/>
  <c r="Y9" s="1"/>
  <c r="Y10" s="1"/>
  <c r="P12" i="11" s="1"/>
  <c r="AG6" i="10"/>
  <c r="AC6"/>
  <c r="P45" i="11" s="1"/>
  <c r="AK7" i="10" l="1"/>
  <c r="P120" i="11" s="1"/>
  <c r="AO7" i="10"/>
  <c r="Y11"/>
  <c r="AC7"/>
  <c r="P46" i="11" s="1"/>
  <c r="AG7" i="10"/>
  <c r="P83" i="11" s="1"/>
  <c r="AK8" i="10" l="1"/>
  <c r="P121" i="11" s="1"/>
  <c r="AO8" i="10"/>
  <c r="P158" i="11" s="1"/>
  <c r="P157"/>
  <c r="Y12" i="10"/>
  <c r="P14" i="11" s="1"/>
  <c r="P13"/>
  <c r="AG8" i="10"/>
  <c r="P84" i="11" s="1"/>
  <c r="AC8" i="10"/>
  <c r="P47" i="11" s="1"/>
  <c r="Y13" i="10" l="1"/>
  <c r="P15" i="11" s="1"/>
  <c r="AK9" i="10"/>
  <c r="AK10" s="1"/>
  <c r="AO9"/>
  <c r="AG9"/>
  <c r="AC9"/>
  <c r="Y14" l="1"/>
  <c r="P122" i="11"/>
  <c r="AO10" i="10"/>
  <c r="P159" i="11"/>
  <c r="AG10" i="10"/>
  <c r="P85" i="11"/>
  <c r="AK11" i="10"/>
  <c r="P123" i="11"/>
  <c r="AC10" i="10"/>
  <c r="P48" i="11"/>
  <c r="P78"/>
  <c r="P41"/>
  <c r="C183"/>
  <c r="C146"/>
  <c r="C109"/>
  <c r="G3" i="12"/>
  <c r="P4" i="11"/>
  <c r="C72"/>
  <c r="AO11" i="10" l="1"/>
  <c r="P160" i="11"/>
  <c r="AK12" i="10"/>
  <c r="P124" i="11"/>
  <c r="AG11" i="10"/>
  <c r="P86" i="11"/>
  <c r="AC11" i="10"/>
  <c r="P49" i="11"/>
  <c r="P115"/>
  <c r="AO12" i="10" l="1"/>
  <c r="P161" i="11"/>
  <c r="AG12" i="10"/>
  <c r="P87" i="11"/>
  <c r="AK13" i="10"/>
  <c r="P125" i="11"/>
  <c r="AC12" i="10"/>
  <c r="P50" i="11"/>
  <c r="P6"/>
  <c r="P5"/>
  <c r="AO13" i="10" l="1"/>
  <c r="P162" i="11"/>
  <c r="AK14" i="10"/>
  <c r="P126" i="11"/>
  <c r="P127" s="1"/>
  <c r="AG13" i="10"/>
  <c r="P88" i="11"/>
  <c r="AC13" i="10"/>
  <c r="P51" i="11"/>
  <c r="P7"/>
  <c r="P8"/>
  <c r="F6" i="16"/>
  <c r="F4" i="5"/>
  <c r="F5"/>
  <c r="F3"/>
  <c r="F5" i="16"/>
  <c r="C35" i="11"/>
  <c r="G7" i="1"/>
  <c r="C6" i="14"/>
  <c r="AO14" i="10" l="1"/>
  <c r="P163" i="11"/>
  <c r="AC14" i="10"/>
  <c r="P52" i="11"/>
  <c r="AG14" i="10"/>
  <c r="P89" i="11"/>
  <c r="P9"/>
  <c r="F4" i="16"/>
  <c r="P10" i="11" l="1"/>
  <c r="P11" l="1"/>
  <c r="K3" i="8"/>
  <c r="L5" s="1"/>
  <c r="I3"/>
  <c r="L4" s="1"/>
  <c r="G3"/>
  <c r="H5" s="1"/>
  <c r="E3"/>
  <c r="H4" s="1"/>
  <c r="C3"/>
  <c r="B5" s="1"/>
  <c r="A3"/>
  <c r="B4" s="1"/>
  <c r="E2" l="1"/>
  <c r="I2"/>
  <c r="M2"/>
  <c r="O4" l="1"/>
  <c r="P24" i="1"/>
  <c r="P23"/>
  <c r="P16"/>
  <c r="G8"/>
  <c r="P15"/>
  <c r="F146" i="11" l="1"/>
  <c r="P90"/>
  <c r="F109" s="1"/>
  <c r="P164" l="1"/>
  <c r="F183" s="1"/>
  <c r="P16"/>
  <c r="F35" s="1"/>
  <c r="P53" l="1"/>
  <c r="F72" s="1"/>
</calcChain>
</file>

<file path=xl/comments1.xml><?xml version="1.0" encoding="utf-8"?>
<comments xmlns="http://schemas.openxmlformats.org/spreadsheetml/2006/main">
  <authors>
    <author>Autor</author>
  </authors>
  <commentList>
    <comment ref="K9" authorId="0">
      <text>
        <r>
          <rPr>
            <sz val="9"/>
            <color indexed="81"/>
            <rFont val="Tahoma"/>
            <family val="2"/>
          </rPr>
          <t xml:space="preserve">Gewinn =
(100*Gewinn)/ EK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Start dieser Kassenübersicht: 03.09.2013
Es wurden bereits zuvor Buchungen/Zahlungen/Zahlungseingänge usw. getätigt.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NICHT LÖSCHEN!
Hier in weißer Schrift letze verwendete Rechnungsnummer!!!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ohne MwSt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 xml:space="preserve">Autor: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ohne 19 % Steuer
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- Pkw Fahrt, mit priv.Pkw
- Verpackungskosten
- Versandkosten/Porto
- Arbeitszimmer: prozentuale Anrechnung: Nebenkosten, Erhaltungsaufwendungen, Abschreibungen, Schuldzinsen...
- Telefonkosten, 20-30 % kann man abs.
- Geschenke
-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  -  = Ans Finanzamt zahlen
(+) = Erstattung vom FA </t>
        </r>
      </text>
    </comment>
  </commentList>
</comments>
</file>

<file path=xl/sharedStrings.xml><?xml version="1.0" encoding="utf-8"?>
<sst xmlns="http://schemas.openxmlformats.org/spreadsheetml/2006/main" count="3367" uniqueCount="1237">
  <si>
    <t>Energiedrinks</t>
  </si>
  <si>
    <t>Klebeband</t>
  </si>
  <si>
    <t>Luftpolster</t>
  </si>
  <si>
    <t>Kartonagen</t>
  </si>
  <si>
    <t>Briefumschläge</t>
  </si>
  <si>
    <t>Maxibrief</t>
  </si>
  <si>
    <t>1001</t>
  </si>
  <si>
    <t>EnergyX</t>
  </si>
  <si>
    <t>Energydrink</t>
  </si>
  <si>
    <t>2001</t>
  </si>
  <si>
    <t>3001</t>
  </si>
  <si>
    <t>4001</t>
  </si>
  <si>
    <t>190x150x140</t>
  </si>
  <si>
    <t>5001</t>
  </si>
  <si>
    <t>Briefumschlag</t>
  </si>
  <si>
    <t>6001</t>
  </si>
  <si>
    <t>A4 (350x250x50mm)</t>
  </si>
  <si>
    <t>Bestand</t>
  </si>
  <si>
    <t>EK/Stk. in €</t>
  </si>
  <si>
    <t>Tray's (24)</t>
  </si>
  <si>
    <t>Karton (36)</t>
  </si>
  <si>
    <t>EK/Tray in €</t>
  </si>
  <si>
    <t>EK/Karton in €</t>
  </si>
  <si>
    <t>2002</t>
  </si>
  <si>
    <t>3002</t>
  </si>
  <si>
    <t>4002</t>
  </si>
  <si>
    <t>300x215x140</t>
  </si>
  <si>
    <t>5002</t>
  </si>
  <si>
    <t>6002</t>
  </si>
  <si>
    <t>2003</t>
  </si>
  <si>
    <t>3003</t>
  </si>
  <si>
    <t>4003</t>
  </si>
  <si>
    <t>5003</t>
  </si>
  <si>
    <t>3004</t>
  </si>
  <si>
    <t>4004</t>
  </si>
  <si>
    <t>350x240x150</t>
  </si>
  <si>
    <t>3005</t>
  </si>
  <si>
    <t>4005</t>
  </si>
  <si>
    <t>520x330x180</t>
  </si>
  <si>
    <t>3006</t>
  </si>
  <si>
    <t>4006</t>
  </si>
  <si>
    <t>590x390x300</t>
  </si>
  <si>
    <t>3007</t>
  </si>
  <si>
    <t>320x250x120</t>
  </si>
  <si>
    <t>leise, braun</t>
  </si>
  <si>
    <t>laut, transparent</t>
  </si>
  <si>
    <t>leise, transparent</t>
  </si>
  <si>
    <t>Kundennummer</t>
  </si>
  <si>
    <t>Inhaber</t>
  </si>
  <si>
    <t>Ort</t>
  </si>
  <si>
    <t>Email</t>
  </si>
  <si>
    <t>Karl-Heinz Apititus</t>
  </si>
  <si>
    <t>Edeka "Nah und Gut"</t>
  </si>
  <si>
    <t>PLZ</t>
  </si>
  <si>
    <t>München</t>
  </si>
  <si>
    <t>Aydin Burak</t>
  </si>
  <si>
    <t>burak.aydinaa@hotmail.com</t>
  </si>
  <si>
    <t>Turgut Taner</t>
  </si>
  <si>
    <t>Südost Bakery &amp; Services GmbH</t>
  </si>
  <si>
    <t>089/40287238</t>
  </si>
  <si>
    <t>Freitext 1</t>
  </si>
  <si>
    <t>Freitext 2</t>
  </si>
  <si>
    <t>Firmenname</t>
  </si>
  <si>
    <t>Straßennummer</t>
  </si>
  <si>
    <t>Straßename</t>
  </si>
  <si>
    <t>St.-Veit-Str.</t>
  </si>
  <si>
    <t>Josephsburgstraße</t>
  </si>
  <si>
    <t>Heufelder Str.</t>
  </si>
  <si>
    <t>Sonstiges</t>
  </si>
  <si>
    <t>Firma</t>
  </si>
  <si>
    <t>Privat</t>
  </si>
  <si>
    <t>Info</t>
  </si>
  <si>
    <t>INFOFELDER</t>
  </si>
  <si>
    <t>Adresszeilen / - informationen</t>
  </si>
  <si>
    <t>AB ZEILE 10 beginnen Kundendetails!!! Ansonsten Code ändern!!!! Mehrere Stellen!!!!!!!</t>
  </si>
  <si>
    <t>Kundennummer + relevantes für ComboBox</t>
  </si>
  <si>
    <t>Telefon</t>
  </si>
  <si>
    <t>Datum</t>
  </si>
  <si>
    <t>Brutto</t>
  </si>
  <si>
    <t>%</t>
  </si>
  <si>
    <t>Netto</t>
  </si>
  <si>
    <t>MwSt</t>
  </si>
  <si>
    <t>Rechn.Nr.:</t>
  </si>
  <si>
    <t>Mwst</t>
  </si>
  <si>
    <t>Gesamt:</t>
  </si>
  <si>
    <t>Umsatz Netto</t>
  </si>
  <si>
    <t xml:space="preserve">Waren </t>
  </si>
  <si>
    <t>Waren</t>
  </si>
  <si>
    <t>Gesamt</t>
  </si>
  <si>
    <t>Rechn.Nr.</t>
  </si>
  <si>
    <t>Ware</t>
  </si>
  <si>
    <t>Stückzahl</t>
  </si>
  <si>
    <t>Einkauf</t>
  </si>
  <si>
    <t>Verkauf</t>
  </si>
  <si>
    <t>Stück</t>
  </si>
  <si>
    <t>Gewinn</t>
  </si>
  <si>
    <t>Gew.in %</t>
  </si>
  <si>
    <t xml:space="preserve">Bar-Kassenbestand:  </t>
  </si>
  <si>
    <t xml:space="preserve">Geschäftskonto-Bestand: </t>
  </si>
  <si>
    <t xml:space="preserve">PayPal-Bestand:  </t>
  </si>
  <si>
    <t xml:space="preserve">Gesamt-Bestand: </t>
  </si>
  <si>
    <t>Bar-Kassenbestand €</t>
  </si>
  <si>
    <t>Geschäftskonto €</t>
  </si>
  <si>
    <t>PayPal €</t>
  </si>
  <si>
    <t>+</t>
  </si>
  <si>
    <t>-</t>
  </si>
  <si>
    <t>Rechnung</t>
  </si>
  <si>
    <t>Start</t>
  </si>
  <si>
    <t>Bar + :</t>
  </si>
  <si>
    <t>Gesch.konto + :</t>
  </si>
  <si>
    <t>PayPal + :</t>
  </si>
  <si>
    <t>Bar - :</t>
  </si>
  <si>
    <t>Gesch.konto - :</t>
  </si>
  <si>
    <t>PayPal  :</t>
  </si>
  <si>
    <t>Jahr</t>
  </si>
  <si>
    <t>Geamtgewinn:</t>
  </si>
  <si>
    <t>1 - Betriebseinnahmen</t>
  </si>
  <si>
    <t>2 - Gewinn</t>
  </si>
  <si>
    <t>3 - Bestand</t>
  </si>
  <si>
    <t>4 - Kasse</t>
  </si>
  <si>
    <t>checkBoxBetriebseinnahmen</t>
  </si>
  <si>
    <t>checkBoxGewinn</t>
  </si>
  <si>
    <t>checkBoxBestand</t>
  </si>
  <si>
    <t>checkBoxKasse</t>
  </si>
  <si>
    <t>RNr</t>
  </si>
  <si>
    <t>Knr</t>
  </si>
  <si>
    <t>datum</t>
  </si>
  <si>
    <t>anr</t>
  </si>
  <si>
    <t>vmenge</t>
  </si>
  <si>
    <t>vpreis</t>
  </si>
  <si>
    <t>epreis</t>
  </si>
  <si>
    <t>gnetto</t>
  </si>
  <si>
    <t>gmwst</t>
  </si>
  <si>
    <t>Anzahl Artikel zu Buchung</t>
  </si>
  <si>
    <t>gbrutto</t>
  </si>
  <si>
    <t>Fahrtstrecke einfach</t>
  </si>
  <si>
    <t>Hin-</t>
  </si>
  <si>
    <t>Pkw-Fahrt</t>
  </si>
  <si>
    <t>fahrt</t>
  </si>
  <si>
    <t>u.Rück</t>
  </si>
  <si>
    <t>Beschreibung</t>
  </si>
  <si>
    <t>Fahrzweck</t>
  </si>
  <si>
    <t>Von</t>
  </si>
  <si>
    <t>Nach</t>
  </si>
  <si>
    <t>in KM</t>
  </si>
  <si>
    <t>Fahrt</t>
  </si>
  <si>
    <t>Rück-</t>
  </si>
  <si>
    <t>KNr</t>
  </si>
  <si>
    <t>Info 2</t>
  </si>
  <si>
    <t xml:space="preserve">gezahlte Steuern: </t>
  </si>
  <si>
    <t xml:space="preserve">eingenommene Steuern: </t>
  </si>
  <si>
    <t>Steuer-Abgabe/Erstattung:</t>
  </si>
  <si>
    <t>Frei 1</t>
  </si>
  <si>
    <t>Frei 2</t>
  </si>
  <si>
    <t>Welcher Kunde hat wann was gekauft?</t>
  </si>
  <si>
    <t>Preis/Stk. (Netto)</t>
  </si>
  <si>
    <t>Umsatzsteurvoranmeldung für:</t>
  </si>
  <si>
    <t xml:space="preserve"> per Elster versandt am: </t>
  </si>
  <si>
    <t>November</t>
  </si>
  <si>
    <t>Elster verschickt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</si>
  <si>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</si>
  <si>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</si>
  <si>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</si>
  <si>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</si>
  <si>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</si>
  <si>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</si>
  <si>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</si>
  <si>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</si>
  <si>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</si>
  <si>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</si>
  <si>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Dezember</t>
  </si>
  <si>
    <t>xxx</t>
  </si>
  <si>
    <t>6003</t>
  </si>
  <si>
    <t>6004</t>
  </si>
  <si>
    <t>6005</t>
  </si>
  <si>
    <t>6006</t>
  </si>
  <si>
    <t>6007</t>
  </si>
  <si>
    <t>Infos:</t>
  </si>
  <si>
    <t>In dieser Tabelle kannst du dir selber Notizen aufschreiben</t>
  </si>
  <si>
    <r>
      <t xml:space="preserve">Am Anfang eines neuen Jahres müssen in der Tabelle Steuer die 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 gelöscht werden!</t>
    </r>
  </si>
  <si>
    <t>Grafik Tabelle kannst du bearbeiten wie du willst (nicht für das Programm relevant!)</t>
  </si>
  <si>
    <r>
      <t>In der Tabelle Grafik musst du manuell die Werte eintragen [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FELDER] (für den Gewinn in der Gewinn Tabelle nach dem entsprechenden Monat filtern und Wert übertragen / für die Tabelle der Umsatzstzervoranmeldung einfach die Werte aus dem Programm (unter Übersicht und dem entsprechendne Monata) eintragen</t>
    </r>
  </si>
  <si>
    <t>Startbetrag</t>
  </si>
  <si>
    <t>Firmen Rechn.Nr.:</t>
  </si>
  <si>
    <t>Meine fortl.Nr.</t>
  </si>
  <si>
    <t>Betriebsausgaben - Sonstiges:</t>
  </si>
  <si>
    <t xml:space="preserve">Gewinnermittlung </t>
  </si>
  <si>
    <t>Brutto:</t>
  </si>
  <si>
    <t>MwSt:</t>
  </si>
  <si>
    <t>Umsatz Netto:</t>
  </si>
  <si>
    <t>GESAMT:</t>
  </si>
  <si>
    <t>Netto:</t>
  </si>
  <si>
    <t xml:space="preserve">                                  GESAMT:</t>
  </si>
  <si>
    <t>Interner Rechnungsvermerk</t>
  </si>
  <si>
    <t>Sonderein-/auszahlungen!</t>
  </si>
  <si>
    <t>Edeka "Nah u Gut"</t>
  </si>
  <si>
    <t>St.Veit-Str.15</t>
  </si>
  <si>
    <t>Energy: 0,55</t>
  </si>
  <si>
    <t>Tel.Geschäft: 08943519123</t>
  </si>
  <si>
    <t>Burak:01711882713</t>
  </si>
  <si>
    <t>Atila:01636768800</t>
  </si>
  <si>
    <t>Turgut Tanner</t>
  </si>
  <si>
    <t>Ünsal Bilal</t>
  </si>
  <si>
    <t>Postfiliale</t>
  </si>
  <si>
    <t>Sternstraße</t>
  </si>
  <si>
    <t>089/72637995</t>
  </si>
  <si>
    <t>0151/64506195</t>
  </si>
  <si>
    <t>Ali Cakil</t>
  </si>
  <si>
    <t>Föhringer Postcafe</t>
  </si>
  <si>
    <t>Am Bahnhof</t>
  </si>
  <si>
    <t>Unterföhring</t>
  </si>
  <si>
    <t>0176/10042724</t>
  </si>
  <si>
    <t>Tradecal GmbH</t>
  </si>
  <si>
    <t>Michael Richter</t>
  </si>
  <si>
    <t>Anna-Birle-Straße</t>
  </si>
  <si>
    <t>Mainz-Kastel</t>
  </si>
  <si>
    <t>061/346012150</t>
  </si>
  <si>
    <t>0157/74490649</t>
  </si>
  <si>
    <t>Rawa Hama Ali UG</t>
  </si>
  <si>
    <t>(haftungsbeschränkt)</t>
  </si>
  <si>
    <t>Kreillerstraße</t>
  </si>
  <si>
    <t>0176/32579417</t>
  </si>
  <si>
    <t>Ihle - Turderinger Str.272</t>
  </si>
  <si>
    <t>( Hit-Markt)</t>
  </si>
  <si>
    <t>Landbäckerei Ihle</t>
  </si>
  <si>
    <t>Herr Rukljac e.k.</t>
  </si>
  <si>
    <t>Truderinger Str.</t>
  </si>
  <si>
    <t>Energy: 0,59 €</t>
  </si>
  <si>
    <t>Ihle - St.Veit-str./Kreillerstr</t>
  </si>
  <si>
    <t>Post - Unterföhring</t>
  </si>
  <si>
    <t>Post - Lehel Sternstr.22</t>
  </si>
  <si>
    <t>Klebeb.: 0,69 / 0,71</t>
  </si>
  <si>
    <t>Post - Heufelderstr.2</t>
  </si>
  <si>
    <t xml:space="preserve">Post - Josephsburgstr.71 </t>
  </si>
  <si>
    <t xml:space="preserve">Sb Cafe - Messe   </t>
  </si>
  <si>
    <t>Furkan Köse</t>
  </si>
  <si>
    <t>sb Cafe Messe</t>
  </si>
  <si>
    <t>Heinrich-Böll-Str.</t>
  </si>
  <si>
    <t>Münhchen</t>
  </si>
  <si>
    <t>089/24206325</t>
  </si>
  <si>
    <t>Gulten Olek Dogan</t>
  </si>
  <si>
    <t>SB Ratschillers</t>
  </si>
  <si>
    <t xml:space="preserve">Truderinger Str. </t>
  </si>
  <si>
    <t>089/42017381</t>
  </si>
  <si>
    <t>Energy: 0,59</t>
  </si>
  <si>
    <t>Sb Ratschillers - Truderinger Str.</t>
  </si>
  <si>
    <t>Sb Cafe - Giddu</t>
  </si>
  <si>
    <t>Berg am Laim Str.</t>
  </si>
  <si>
    <t>SB Cafe Giddu</t>
  </si>
  <si>
    <t>Waleed Abdalla</t>
  </si>
  <si>
    <t>Berg-am-Laim-Str.</t>
  </si>
  <si>
    <t>0176/70338885</t>
  </si>
  <si>
    <t>Energy: 0,56</t>
  </si>
  <si>
    <t>Klebeb.: 0,75</t>
  </si>
  <si>
    <t>World of Video</t>
  </si>
  <si>
    <t>Truderinger Str. 298</t>
  </si>
  <si>
    <t>Ashkan Saidi</t>
  </si>
  <si>
    <t>089/42721883</t>
  </si>
  <si>
    <t>0176/24977464</t>
  </si>
  <si>
    <t>Kiosk - UBahn Kreillerstr.</t>
  </si>
  <si>
    <t>U-Bahn-Kiosk Kreillerstr.</t>
  </si>
  <si>
    <t>Brigitta Gyurcsan</t>
  </si>
  <si>
    <t>089/43589359</t>
  </si>
  <si>
    <t>089/43569359</t>
  </si>
  <si>
    <t>Kiosk - Sultan Imbiss</t>
  </si>
  <si>
    <t>Neumarkter Str. 75</t>
  </si>
  <si>
    <t>Sultan Imbiss</t>
  </si>
  <si>
    <t>Tunay Turan</t>
  </si>
  <si>
    <t xml:space="preserve">Neumarkter Str. </t>
  </si>
  <si>
    <t>Kiosk - UBahn Messestadt Ost</t>
  </si>
  <si>
    <t>Snack Kinger's</t>
  </si>
  <si>
    <t>Gökmen &amp; Dogan GbR</t>
  </si>
  <si>
    <t xml:space="preserve">Willy-Brandt-Allee </t>
  </si>
  <si>
    <t>089/94461887</t>
  </si>
  <si>
    <t>0176/66889425 (Ibrahim Dogan)</t>
  </si>
  <si>
    <t xml:space="preserve">Kiosk - Kebap Box </t>
  </si>
  <si>
    <t>Bajuwarenstr. 106</t>
  </si>
  <si>
    <t>Kebap Box</t>
  </si>
  <si>
    <t>Derya Kocoglu</t>
  </si>
  <si>
    <t>Energy: 0,6</t>
  </si>
  <si>
    <t>Kiosk - Truderinger Str. 58</t>
  </si>
  <si>
    <t>(Am Sportplaz)</t>
  </si>
  <si>
    <t>Kiosk Yessica Alvarez Burgos</t>
  </si>
  <si>
    <t>Yessica Alvarez Burgos</t>
  </si>
  <si>
    <t>089/438090</t>
  </si>
  <si>
    <t>Energy: 0,60</t>
  </si>
  <si>
    <t>Kiosk - Mix Kebab Haus</t>
  </si>
  <si>
    <t>(über Flo)</t>
  </si>
  <si>
    <t>Mix Kebab Haus</t>
  </si>
  <si>
    <t>Haydar Oihankazi</t>
  </si>
  <si>
    <t>Limesstraße</t>
  </si>
  <si>
    <t>Kiosk - UBahn Trudering/Oberfläche</t>
  </si>
  <si>
    <t>Müzeyyen Sarisacli</t>
  </si>
  <si>
    <t>Grill Imbiss</t>
  </si>
  <si>
    <t>089/43576329</t>
  </si>
  <si>
    <t>0176/31244242 (Sohn:Özgör S.)</t>
  </si>
  <si>
    <t>Tankstelle - Lindhuber</t>
  </si>
  <si>
    <t>Kreillerstr. 128</t>
  </si>
  <si>
    <t>Auto Lindhuber e.K</t>
  </si>
  <si>
    <t>089/432923</t>
  </si>
  <si>
    <t>Tankstelle - Aral</t>
  </si>
  <si>
    <t>Riemerstr. 360</t>
  </si>
  <si>
    <t>Aral-Tankstelle</t>
  </si>
  <si>
    <t>Seebauer Carina</t>
  </si>
  <si>
    <t xml:space="preserve">Riemerstr. </t>
  </si>
  <si>
    <t>089/907116</t>
  </si>
  <si>
    <t>Reinigung &amp; Wäscherei</t>
  </si>
  <si>
    <t>Schüleinstr./Kreillerstr.</t>
  </si>
  <si>
    <t>Schüleinstraße</t>
  </si>
  <si>
    <t>089/97608617</t>
  </si>
  <si>
    <t>Husanovic Turkijana</t>
  </si>
  <si>
    <t>Schreibwaren - Bader's Papeterie</t>
  </si>
  <si>
    <t>Plankensteinstr./Kreillerstr.</t>
  </si>
  <si>
    <t>Bader's Papeterie</t>
  </si>
  <si>
    <t>Bader Bernhard</t>
  </si>
  <si>
    <t>Plankensteinstr.</t>
  </si>
  <si>
    <t>089/55060509</t>
  </si>
  <si>
    <t>Macht Alexander</t>
  </si>
  <si>
    <t>Platz der Menschenrechte</t>
  </si>
  <si>
    <t>Energy: 0,65</t>
  </si>
  <si>
    <t xml:space="preserve">Online Handel </t>
  </si>
  <si>
    <t>Türedi Adil</t>
  </si>
  <si>
    <t>Online Handel</t>
  </si>
  <si>
    <t>Schatzbogen</t>
  </si>
  <si>
    <t>ebay Handel</t>
  </si>
  <si>
    <t>Mustafa Merrtürk</t>
  </si>
  <si>
    <t xml:space="preserve">ebay Handel </t>
  </si>
  <si>
    <t>Mustafa Merttürk</t>
  </si>
  <si>
    <t>St.-Michael Str.</t>
  </si>
  <si>
    <t>0152/13602246</t>
  </si>
  <si>
    <t>tatsächlicher Gewinn an verkaufter Ware:        Verkaufspreis - Einkaufspreis</t>
  </si>
  <si>
    <t>GEWINN</t>
  </si>
  <si>
    <t>5 - Verkauf abgeschlossen</t>
  </si>
  <si>
    <t>checkVerkaufDone</t>
  </si>
  <si>
    <t>K10 (50 Stück)</t>
  </si>
  <si>
    <t>E5 (50 Stück)</t>
  </si>
  <si>
    <t>4007</t>
  </si>
  <si>
    <t>320x220x150 / 2.30BC</t>
  </si>
  <si>
    <t>450x350x290 / 2.30BC</t>
  </si>
  <si>
    <t>4008</t>
  </si>
  <si>
    <t>4009</t>
  </si>
  <si>
    <t>4010</t>
  </si>
  <si>
    <t>5144</t>
  </si>
  <si>
    <t>EnergyX: 6*96 Stück</t>
  </si>
  <si>
    <t>4007: Kartonagen, 450x350x290 / 2.30BC</t>
  </si>
  <si>
    <t>R2014/101</t>
  </si>
  <si>
    <t>101</t>
  </si>
  <si>
    <t>1001: Energydrink, EnergyX</t>
  </si>
  <si>
    <t>R2014/102</t>
  </si>
  <si>
    <t>(10 Euro Differenz??)</t>
  </si>
  <si>
    <t>201</t>
  </si>
  <si>
    <t>Rechnungsdifferenz</t>
  </si>
  <si>
    <t>zum Zeitpunkt der Buchung Einkaufspreis &lt;=0 -&gt; Prozentberechnung nicht möglich!</t>
  </si>
  <si>
    <t>Interne Überweisung von Giro nach PayPal</t>
  </si>
  <si>
    <t>Lieferfahrt</t>
  </si>
  <si>
    <t>KNr: 302 --- RNr: R2014/103</t>
  </si>
  <si>
    <t>Warenverkauf</t>
  </si>
  <si>
    <t>M.</t>
  </si>
  <si>
    <t>Truderinger Str. 252 München 81825</t>
  </si>
  <si>
    <t>R2014/103</t>
  </si>
  <si>
    <t>302</t>
  </si>
  <si>
    <t>KNr: 212 --- RNr: R2014/104</t>
  </si>
  <si>
    <t>Truderinger Str.  308 München 81825</t>
  </si>
  <si>
    <t>R2014/104</t>
  </si>
  <si>
    <t>212</t>
  </si>
  <si>
    <t>KNr: 211 --- RNr: R2014/105</t>
  </si>
  <si>
    <t>Heinrich-Böll-Str. 23 Münhchen 81829</t>
  </si>
  <si>
    <t>R2014/105</t>
  </si>
  <si>
    <t>211</t>
  </si>
  <si>
    <t>KNr: 401 --- RNr: R2014/106</t>
  </si>
  <si>
    <t>Kreillerstraße 128 München 81673</t>
  </si>
  <si>
    <t>R2014/106</t>
  </si>
  <si>
    <t>401</t>
  </si>
  <si>
    <t>R2014/107</t>
  </si>
  <si>
    <t>KNr: 801 --- RNr: R2014/108</t>
  </si>
  <si>
    <t>Josephsburgstraße 71 München 81673</t>
  </si>
  <si>
    <t>R2014/108</t>
  </si>
  <si>
    <t>801</t>
  </si>
  <si>
    <t>Interne Überweisung von Giro nach Sonderauszahlung</t>
  </si>
  <si>
    <t>Finanzamt/Umsatzsteuer für Dez13</t>
  </si>
  <si>
    <t>Dietmar Sommer Verpackungen GmbH</t>
  </si>
  <si>
    <t>104297</t>
  </si>
  <si>
    <t>5775</t>
  </si>
  <si>
    <t>4008: Kartonagen, 320x220x150 / 2.30BC</t>
  </si>
  <si>
    <t>R2014/109</t>
  </si>
  <si>
    <t>Gesamt-</t>
  </si>
  <si>
    <t>kosten</t>
  </si>
  <si>
    <t>GESAMTKOSTEN:</t>
  </si>
  <si>
    <t xml:space="preserve"> =SUMMEWENN(A:A;("&gt;="&amp;DATWERT("01.01.2015"));J:J)-SUMMEWENN(A:A;("&gt;="&amp;DATWERT("01.02.2015"));J:J)</t>
  </si>
  <si>
    <t xml:space="preserve"> =SUMMEWENN(A:A;("&gt;="&amp;DATWERT("01.01.2016"));J:J)-SUMMEWENN(A:A;("&gt;="&amp;DATWERT("01.02.2016"));J:J)</t>
  </si>
  <si>
    <t>ACHTUNG BEIM LÖSCHEN GANZER ZEILEN!!!</t>
  </si>
  <si>
    <t>BEACHTE GEWINNNOTIZEN AB SPALTE W!!!!!</t>
  </si>
  <si>
    <t>Edeka "Ackermann"</t>
  </si>
  <si>
    <t>Ramlesreuth</t>
  </si>
  <si>
    <t xml:space="preserve">Edeka </t>
  </si>
  <si>
    <t>Ackermann Wolfgang</t>
  </si>
  <si>
    <t>Speichersdorf</t>
  </si>
  <si>
    <t>EnergyX: 0,49 €</t>
  </si>
  <si>
    <t>R2014/110</t>
  </si>
  <si>
    <t xml:space="preserve">95469 Speichersdorf, Ramlesreuth 64 (Elternhaus) </t>
  </si>
  <si>
    <t>95469 Speierchsdorf,Ramlesreuth 33 (Edeka)</t>
  </si>
  <si>
    <t>5919</t>
  </si>
  <si>
    <t>6*96 Dosen Energy</t>
  </si>
  <si>
    <t>Klebeb. 0,85 € (zuvor0,75)</t>
  </si>
  <si>
    <t>Staples</t>
  </si>
  <si>
    <t>066069963</t>
  </si>
  <si>
    <t>Rechnungsblock</t>
  </si>
  <si>
    <t>Post-Cafe-Aydin</t>
  </si>
  <si>
    <t>Aydin Atila</t>
  </si>
  <si>
    <t>R2014/111</t>
  </si>
  <si>
    <t>2002: Klebeband, leise, braun</t>
  </si>
  <si>
    <t>2001: Klebeband, leise, transparent</t>
  </si>
  <si>
    <t>R2014/112</t>
  </si>
  <si>
    <t>R2014/113</t>
  </si>
  <si>
    <t>KNr: 801 --- RNr: R2014/111</t>
  </si>
  <si>
    <t>KNr: 312 --- RNr: R2014/112</t>
  </si>
  <si>
    <t>Bajuwarenstr. 106 München 81825</t>
  </si>
  <si>
    <t>312</t>
  </si>
  <si>
    <t>03.02.2014</t>
  </si>
  <si>
    <t>9001</t>
  </si>
  <si>
    <t>Versandkosten</t>
  </si>
  <si>
    <t>9002</t>
  </si>
  <si>
    <t>9003</t>
  </si>
  <si>
    <t>9004</t>
  </si>
  <si>
    <t>9005</t>
  </si>
  <si>
    <t>9006</t>
  </si>
  <si>
    <t>9007</t>
  </si>
  <si>
    <t>Adresse</t>
  </si>
  <si>
    <t>Artikel</t>
  </si>
  <si>
    <t>2000</t>
  </si>
  <si>
    <t>Nicht ändern</t>
  </si>
  <si>
    <t>10,90 Euro</t>
  </si>
  <si>
    <t>9,90 Euro</t>
  </si>
  <si>
    <t>6,90 Euro</t>
  </si>
  <si>
    <t>6,70 Euro</t>
  </si>
  <si>
    <t>5,90 Euro</t>
  </si>
  <si>
    <t>4,90 Euro</t>
  </si>
  <si>
    <t>4,10 Euro</t>
  </si>
  <si>
    <t>4,30 Euro</t>
  </si>
  <si>
    <t>3,80 Euro</t>
  </si>
  <si>
    <t xml:space="preserve">Preis </t>
  </si>
  <si>
    <t>9008</t>
  </si>
  <si>
    <t>9009</t>
  </si>
  <si>
    <t>9010</t>
  </si>
  <si>
    <t>Test</t>
  </si>
  <si>
    <t>Energydrink - EnergyX</t>
  </si>
  <si>
    <t>Versandkosten / Hermes</t>
  </si>
  <si>
    <t>62552200014748</t>
  </si>
  <si>
    <t>Hermes für R2014/114</t>
  </si>
  <si>
    <t>C3 (100 Stück)</t>
  </si>
  <si>
    <t>D4 (100 Stück)</t>
  </si>
  <si>
    <t>G7 (100 Stück)</t>
  </si>
  <si>
    <t>H8 (100 Stück)</t>
  </si>
  <si>
    <t>I9 (100 Stück)</t>
  </si>
  <si>
    <t>104388</t>
  </si>
  <si>
    <t>Dietmar Sommer Verp. (32x22x15)</t>
  </si>
  <si>
    <t>Anzahl</t>
  </si>
  <si>
    <t>R2014/114</t>
  </si>
  <si>
    <t>Klebeband 0,79 € + Restkartonagen</t>
  </si>
  <si>
    <t>9001: Versandkosten, 10,90 Euro</t>
  </si>
  <si>
    <t>R2014/115</t>
  </si>
  <si>
    <t>Bankgebühren</t>
  </si>
  <si>
    <t>KK-Verpackungen</t>
  </si>
  <si>
    <t>66735</t>
  </si>
  <si>
    <t>Rechn. NR. 8 - KK-Verpackungen</t>
  </si>
  <si>
    <t>KNr: 801 --- RNr: R2014/116</t>
  </si>
  <si>
    <t>3002: Luftpolster, D4 (100 Stück)</t>
  </si>
  <si>
    <t>R2014/116</t>
  </si>
  <si>
    <t>KNr: 801 --- RNr: R2014/117</t>
  </si>
  <si>
    <t>R2014/117</t>
  </si>
  <si>
    <t>KNr: 211 --- RNr: R2014/118</t>
  </si>
  <si>
    <t>R2014/118</t>
  </si>
  <si>
    <t>DinLang(50 Stk.)</t>
  </si>
  <si>
    <t>C4 (100 Stk.)</t>
  </si>
  <si>
    <t>C5 (100 Stk.)</t>
  </si>
  <si>
    <t>KNr: 802 --- RNr: R2014/119</t>
  </si>
  <si>
    <t>Heufelder Str. 2 München 81673</t>
  </si>
  <si>
    <t>5001: Briefumschlag, DinLang(50 Stk.)</t>
  </si>
  <si>
    <t>R2014/119</t>
  </si>
  <si>
    <t>(Luftp. E5 auf Rechn.: 100St.-Preis 14,99€)</t>
  </si>
  <si>
    <t>3003: Luftpolster, E5 (50 Stück)</t>
  </si>
  <si>
    <t>802</t>
  </si>
  <si>
    <t>Energy: 0,55 €</t>
  </si>
  <si>
    <t>Klebeb.: 0,85 €</t>
  </si>
  <si>
    <t>Aral Tankstelle</t>
  </si>
  <si>
    <t>Otto-Perutz-Str. 1-3, 81829 München</t>
  </si>
  <si>
    <t>Valdet Lifestyle Service / Catering</t>
  </si>
  <si>
    <t>Kempfing 2, 85452 Moosining</t>
  </si>
  <si>
    <t>R2014/120</t>
  </si>
  <si>
    <t>Ihle - Pilgersheimer Str 38</t>
  </si>
  <si>
    <t>Daniel Taureg</t>
  </si>
  <si>
    <t>Ihle Bäckerei</t>
  </si>
  <si>
    <t xml:space="preserve">Daniel Taureg		</t>
  </si>
  <si>
    <t>Pilgersheimer Straße</t>
  </si>
  <si>
    <t>0175/8645818</t>
  </si>
  <si>
    <t xml:space="preserve">EnergyX: 0,55 € </t>
  </si>
  <si>
    <t>Verk.über Ihle St.Veit.-gleicher Preis</t>
  </si>
  <si>
    <t>KNr: 203 --- RNr: R2014/121</t>
  </si>
  <si>
    <t>Pilgersheimer Straße 38 München 81543</t>
  </si>
  <si>
    <t>R2014/121</t>
  </si>
  <si>
    <t>203</t>
  </si>
  <si>
    <t>Erstkauf- Bar über Ihle St.Veit( Roschka, Rojan-Glazte)</t>
  </si>
  <si>
    <t>gesamt</t>
  </si>
  <si>
    <t>(Artikel in Filter wählen :)</t>
  </si>
  <si>
    <t>800x600x600</t>
  </si>
  <si>
    <t>KK Verpackungen</t>
  </si>
  <si>
    <t>69152</t>
  </si>
  <si>
    <t>TradeCal: Restkarton+Klebeb</t>
  </si>
  <si>
    <t>Bankgebühr</t>
  </si>
  <si>
    <t>Gebühr von PayPal zu Rechn. R2014/114</t>
  </si>
  <si>
    <t>Finanzamt/Umsatzsteuer für Jan14</t>
  </si>
  <si>
    <t>KNr: 801 --- RNr: R2014/122</t>
  </si>
  <si>
    <t>4009: Kartonagen, 800x600x600</t>
  </si>
  <si>
    <t>R2014/122</t>
  </si>
  <si>
    <t>800x600x600mm - Neuer Preis: 3,99</t>
  </si>
  <si>
    <t>KNr: 303 --- RNr: R2014/123</t>
  </si>
  <si>
    <t>Willy-Brandt-Allee  11 München 81829</t>
  </si>
  <si>
    <t>R2014/123</t>
  </si>
  <si>
    <t>303</t>
  </si>
  <si>
    <t>Ramlesreuth 33 Speichersdorf 95469</t>
  </si>
  <si>
    <t>R2014/124</t>
  </si>
  <si>
    <t>KNr: 602 --- RNr: R2014/125</t>
  </si>
  <si>
    <t>St.-Michael Str. 15 München 81673</t>
  </si>
  <si>
    <t>R2014/125</t>
  </si>
  <si>
    <t>Neuer Preis: 0,85 €</t>
  </si>
  <si>
    <t>602</t>
  </si>
  <si>
    <t>Interne Überweisung von Bar nach Giro</t>
  </si>
  <si>
    <t>Einzahlung von Bar über priv.Giro an Geschäft.Giro</t>
  </si>
  <si>
    <t>70608</t>
  </si>
  <si>
    <t>Klebeband 2x180 braun/transp.</t>
  </si>
  <si>
    <t>6531</t>
  </si>
  <si>
    <t>EnergyX 192x</t>
  </si>
  <si>
    <t>STAPLES MünchenIII</t>
  </si>
  <si>
    <t>066068959</t>
  </si>
  <si>
    <t>Quittungsblock</t>
  </si>
  <si>
    <t>Bankgebühren Giro</t>
  </si>
  <si>
    <t xml:space="preserve">Bankgebühren </t>
  </si>
  <si>
    <t>KNr: 801 --- RNr: R2014/126</t>
  </si>
  <si>
    <t>R2014/126</t>
  </si>
  <si>
    <t>Ebay-Verkauf</t>
  </si>
  <si>
    <t>Interne Überweisung von Sondereinzahlung nach Giro</t>
  </si>
  <si>
    <t>Finanzamt/Umsatzsteuer für Feb14</t>
  </si>
  <si>
    <t>KNr: 301 --- RNr: R2014/127</t>
  </si>
  <si>
    <t>Kreillerstraße 88 München 81673</t>
  </si>
  <si>
    <t>R2014/127</t>
  </si>
  <si>
    <t>301</t>
  </si>
  <si>
    <t>KNr: 201 --- RNr: R2014/128</t>
  </si>
  <si>
    <t>Kreillerstraße 77 München 81673</t>
  </si>
  <si>
    <t>R2014/128</t>
  </si>
  <si>
    <t>neur Preis-muss noch verh.werden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</si>
  <si>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</si>
  <si>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</si>
  <si>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</si>
  <si>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</si>
  <si>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</si>
  <si>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</si>
  <si>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</si>
  <si>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</si>
  <si>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</si>
  <si>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</si>
  <si>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Versandkosten - Ebay</t>
  </si>
  <si>
    <t>9,16 Euro</t>
  </si>
  <si>
    <t>051</t>
  </si>
  <si>
    <t>052</t>
  </si>
  <si>
    <t>KNr: 052 --- RNr: R2014/124</t>
  </si>
  <si>
    <t>(NIEMALS VERSCHIEBEN!!!) [Sonst u.a. Problem mit Anzeige vormonat noch nicht per Elster verschickt]</t>
  </si>
  <si>
    <t>KNr: 212 --- RNr: R2014/129</t>
  </si>
  <si>
    <t>2,5</t>
  </si>
  <si>
    <t>R2014/129</t>
  </si>
  <si>
    <t>KNr: 311 --- RNr: R2014/130</t>
  </si>
  <si>
    <t>Neumarkter Str.  75 München 81673</t>
  </si>
  <si>
    <t>R2014/130</t>
  </si>
  <si>
    <t>311</t>
  </si>
  <si>
    <t>KNr: 051 --- RNr: R2014/131</t>
  </si>
  <si>
    <t>St.-Veit-Str. 15 München 81673</t>
  </si>
  <si>
    <t>R2014/131</t>
  </si>
  <si>
    <t>KNr: 211 --- RNr: R2014/132</t>
  </si>
  <si>
    <t>R2014/132</t>
  </si>
  <si>
    <t>eBay Kontentest/erste Anzeige online</t>
  </si>
  <si>
    <t>KNr: 302 --- RNr: R2014/133</t>
  </si>
  <si>
    <t>R2014/133</t>
  </si>
  <si>
    <t>ab jetzt 0,55 €</t>
  </si>
  <si>
    <t>U-Bahn Kiosk Trudering, Herr Safi Amanullah</t>
  </si>
  <si>
    <t>81825 München, Truderinger Str. 261</t>
  </si>
  <si>
    <t>Werbefahrt</t>
  </si>
  <si>
    <t>Ware verschenkt</t>
  </si>
  <si>
    <t xml:space="preserve">Werbefahrt </t>
  </si>
  <si>
    <t>Truderninger Str. 261, 81825 München</t>
  </si>
  <si>
    <t>Backeck-Riem</t>
  </si>
  <si>
    <t>Mittbacher Straße 15, 81829 München</t>
  </si>
  <si>
    <t>Mittbacher Str. 15, 81829 München</t>
  </si>
  <si>
    <t>KNr: 212 --- RNr: R2014/134</t>
  </si>
  <si>
    <t>R2014/134</t>
  </si>
  <si>
    <t>Backeck Riem</t>
  </si>
  <si>
    <t>S-Bahn Riem</t>
  </si>
  <si>
    <t>Maseinie Oleg</t>
  </si>
  <si>
    <t>Mittbacher Str.</t>
  </si>
  <si>
    <t>089/32606095</t>
  </si>
  <si>
    <t>Energy: 0,65 € (Testware)</t>
  </si>
  <si>
    <t>KNr: 250 --- RNr: R2014/135</t>
  </si>
  <si>
    <t>Mittbacher Str. 15 München 81829</t>
  </si>
  <si>
    <t>R2014/135</t>
  </si>
  <si>
    <t>Erster Kauf-Testware</t>
  </si>
  <si>
    <t>250</t>
  </si>
  <si>
    <t>KNr: 502 --- RNr: R2014/136</t>
  </si>
  <si>
    <t>Schüleinstraße 2 München 81673</t>
  </si>
  <si>
    <t>0,5</t>
  </si>
  <si>
    <t>R2014/136</t>
  </si>
  <si>
    <t>Klebeband neuer Preis: 0,85 €</t>
  </si>
  <si>
    <t>502</t>
  </si>
  <si>
    <t>Klebe: 0,85 €  (alt:0,75)</t>
  </si>
  <si>
    <t>SB Waschsalon</t>
  </si>
  <si>
    <t>Knorrstr./über Wäscherei Schülleistr.</t>
  </si>
  <si>
    <t>Knorrstr.</t>
  </si>
  <si>
    <t>Tel. über Reinigung u Wäscherei Schüleinstr</t>
  </si>
  <si>
    <t>KNr: 504 --- RNr: R2014/137</t>
  </si>
  <si>
    <t>Knorrstr. 82 München 80807</t>
  </si>
  <si>
    <t>R2014/137</t>
  </si>
  <si>
    <t>erster Einkauf</t>
  </si>
  <si>
    <t>504</t>
  </si>
  <si>
    <t>Sb Wäscherei</t>
  </si>
  <si>
    <t>Knorrstr. 82, München</t>
  </si>
  <si>
    <t>Ware verschenken</t>
  </si>
  <si>
    <t xml:space="preserve">M. </t>
  </si>
  <si>
    <t>Knorrstr. 82, 80807 München</t>
  </si>
  <si>
    <t>KNr: 801 --- RNr: R2014/138</t>
  </si>
  <si>
    <t>R2014/138</t>
  </si>
  <si>
    <t>Energy neuer Preis 0,55 €  (alt:0,47 / 0,49)</t>
  </si>
  <si>
    <t>Energy : 0,55 € (alt: 0,47 / 0,49)</t>
  </si>
  <si>
    <t>Kiosk -UBahn Truderin/Untergeschoss</t>
  </si>
  <si>
    <t>Amaunllah Safi</t>
  </si>
  <si>
    <t>U-Bahn-Kiosk</t>
  </si>
  <si>
    <t>Amanullah Safi</t>
  </si>
  <si>
    <t>089/52388847</t>
  </si>
  <si>
    <t>KNr: 304 --- RNr: R2014/139</t>
  </si>
  <si>
    <t>Truderinger Str.  259 München 81825</t>
  </si>
  <si>
    <t>R2014/139</t>
  </si>
  <si>
    <t>erster Verkauf 0,65 €</t>
  </si>
  <si>
    <t>304</t>
  </si>
  <si>
    <t>KNr: 501 --- RNr: R2014/140</t>
  </si>
  <si>
    <t>Truderinger Str. 298 München 81825</t>
  </si>
  <si>
    <t>R2014/140</t>
  </si>
  <si>
    <t>Neuer Preis 0,59 € (alt:0,56)</t>
  </si>
  <si>
    <t>501</t>
  </si>
  <si>
    <t>Energy: 0,59 € (alt:0,56)</t>
  </si>
  <si>
    <t>Energy: 0,55 € (alt:0,49)</t>
  </si>
  <si>
    <t>KNr: 211 --- RNr: R2014/141</t>
  </si>
  <si>
    <t>R2014/141</t>
  </si>
  <si>
    <t>03.04.2014</t>
  </si>
  <si>
    <t>Finanzamt/Umsatzsteuer für März14</t>
  </si>
  <si>
    <t>1200x600x600</t>
  </si>
  <si>
    <t>78583</t>
  </si>
  <si>
    <t>KNr: 801 --- RNr: R2014/142</t>
  </si>
  <si>
    <t>4010: Kartonagen, 1200x600x600</t>
  </si>
  <si>
    <t>R2014/142</t>
  </si>
  <si>
    <t xml:space="preserve">Karton:1200x600x600 -&gt; 4,39€ </t>
  </si>
  <si>
    <t>Deutsche Post-Porto</t>
  </si>
  <si>
    <t>Stahlgruberring 53</t>
  </si>
  <si>
    <t>Stahlgruberring</t>
  </si>
  <si>
    <t>KNr: 312 --- RNr: R2014/143</t>
  </si>
  <si>
    <t>Stahlgruberring 53 München 81829</t>
  </si>
  <si>
    <t>2,7</t>
  </si>
  <si>
    <t>R2014/143</t>
  </si>
  <si>
    <t>erster Verkauf im Stahlgruberring (zuvor Bajuw.str)</t>
  </si>
  <si>
    <t>KNr: 211 --- RNr: R2014/144</t>
  </si>
  <si>
    <t>R2014/144</t>
  </si>
  <si>
    <t>04.05.2014</t>
  </si>
  <si>
    <t>Finanzamt/Umsatzsteuer für April14</t>
  </si>
  <si>
    <t>Interne Überweisung von PayPal nach Giro</t>
  </si>
  <si>
    <t>Umbuchung von PayPal nach Giro</t>
  </si>
  <si>
    <t>KNr: 051 --- RNr: R2014/145</t>
  </si>
  <si>
    <t>R2014/145</t>
  </si>
  <si>
    <t>letzter Verkauf vor Ladenschließung !!!</t>
  </si>
  <si>
    <t>KNr: 801 --- RNr: R2014/146</t>
  </si>
  <si>
    <t>R2014/146</t>
  </si>
  <si>
    <t>2003: Klebeband, laut, transparent</t>
  </si>
  <si>
    <t>KNr: 802 --- RNr: R2014/147</t>
  </si>
  <si>
    <t>R2014/147</t>
  </si>
  <si>
    <t>KNr: 801 --- RNr: R2014/148</t>
  </si>
  <si>
    <t>R2014/148</t>
  </si>
  <si>
    <t>3007: Luftpolster, K10 (50 Stück)</t>
  </si>
  <si>
    <t>bis 12 h sicher;manchmal bis 15h</t>
  </si>
  <si>
    <t>bis 14 h (nicht am Donnerstag)</t>
  </si>
  <si>
    <t>Zahlungs-eingang</t>
  </si>
  <si>
    <t>Rechnungs-datum</t>
  </si>
  <si>
    <t>Sortierung Kunden bei Verkauf falsch:</t>
  </si>
  <si>
    <t xml:space="preserve">Lösung: </t>
  </si>
  <si>
    <t xml:space="preserve"> In Mappe Kundenliste alle Kundennummern markieren</t>
  </si>
  <si>
    <t>Im der Excelmenüleiste -&gt; Reiter Daten -&gt; Sortieren -&gt; UNBEDINGT Button 'Markierung erweitern' auswählen -&gt; Klick Sortieren</t>
  </si>
  <si>
    <t>Einnahmen</t>
  </si>
  <si>
    <t>Ausgaben:</t>
  </si>
  <si>
    <t>Tradecal GmGmbH (20x96 Engergiedosen)</t>
  </si>
  <si>
    <t>17697</t>
  </si>
  <si>
    <t>20x96 EnergyX</t>
  </si>
  <si>
    <t>R2014/149</t>
  </si>
  <si>
    <t>KNr: 304 --- RNr: R2014/149</t>
  </si>
  <si>
    <t>R2014/150</t>
  </si>
  <si>
    <t>KNr: 250 --- RNr: R2014/150</t>
  </si>
  <si>
    <t>R2014/151</t>
  </si>
  <si>
    <t>KNr: 211 --- RNr: R2014/151</t>
  </si>
  <si>
    <t>R2014/152</t>
  </si>
  <si>
    <t>KNr: 303 --- RNr: R2014/152</t>
  </si>
  <si>
    <t>6,5</t>
  </si>
  <si>
    <t>R2014/153</t>
  </si>
  <si>
    <t>KNr: 301 --- RNr: R2014/153</t>
  </si>
  <si>
    <t>R2014/154</t>
  </si>
  <si>
    <t>KNr: 801 --- RNr: R2014/154</t>
  </si>
  <si>
    <t>Vereinbart: In Zukunft für 0,41 oder 0,42 €</t>
  </si>
  <si>
    <t>R2014/155</t>
  </si>
  <si>
    <t>KNr: 202 --- RNr: R2014/155</t>
  </si>
  <si>
    <t>Truderinger Str. 272 München 81825</t>
  </si>
  <si>
    <t>202</t>
  </si>
  <si>
    <t>R2014/156</t>
  </si>
  <si>
    <t>KNr: 201 --- RNr: R2014/156</t>
  </si>
  <si>
    <t>R2014/157</t>
  </si>
  <si>
    <t>KNr: 212 --- RNr: R2014/157</t>
  </si>
  <si>
    <t>In Zukunft hört sie auf-Ratschiller übernimmt wieder Geschäft</t>
  </si>
  <si>
    <t>R2014/158</t>
  </si>
  <si>
    <t>KNr: 311 --- RNr: R2014/158</t>
  </si>
  <si>
    <t>R2014/159</t>
  </si>
  <si>
    <t>KNr: 411 --- RNr: R2014/159</t>
  </si>
  <si>
    <t>Riemerstr.  360 München 81829</t>
  </si>
  <si>
    <t>4,5</t>
  </si>
  <si>
    <t>411</t>
  </si>
  <si>
    <t>Kiosk-S-Bahn Riem</t>
  </si>
  <si>
    <t>Ege Imbiss/Halim Turgut</t>
  </si>
  <si>
    <t>Ege Imbiss</t>
  </si>
  <si>
    <t>Halim Turgut</t>
  </si>
  <si>
    <t xml:space="preserve">Leibengerstr. </t>
  </si>
  <si>
    <t>33a</t>
  </si>
  <si>
    <t>0,49 €</t>
  </si>
  <si>
    <t>Freund von Sultan Imbiss/Neumarkterstr.</t>
  </si>
  <si>
    <t>Leibengerstr. 33, München</t>
  </si>
  <si>
    <t>R2014/160</t>
  </si>
  <si>
    <t>KNr: 315 --- RNr: R2014/160</t>
  </si>
  <si>
    <t>Leibengerstr.  33a München 81829</t>
  </si>
  <si>
    <t>315</t>
  </si>
  <si>
    <t>Aral Tanke</t>
  </si>
  <si>
    <t>Riemer Str. 360 München</t>
  </si>
  <si>
    <t>Sb Bäckerei Ratschiller</t>
  </si>
  <si>
    <t>Truderinger Str. 308, München</t>
  </si>
  <si>
    <t>Sb Backshop Therese-Giehse Allee 18</t>
  </si>
  <si>
    <t>Ayhan Öylek/Therese-Giehse Allee 18</t>
  </si>
  <si>
    <t>Sb-Backshop</t>
  </si>
  <si>
    <t>Ayhan Öylek</t>
  </si>
  <si>
    <t>Therese-Giehse-Allee</t>
  </si>
  <si>
    <t>Frau: Nejla Gylek (Verwandte von Sb.Rats.Trudering)</t>
  </si>
  <si>
    <t>0,49 in Zukunft vereinbart</t>
  </si>
  <si>
    <t>Sb Backshop/Ayhan Öylek</t>
  </si>
  <si>
    <t>Therese-Giese-Alee 18, München</t>
  </si>
  <si>
    <t>R2014/161</t>
  </si>
  <si>
    <t>KNr: 214 --- RNr: R2014/161</t>
  </si>
  <si>
    <t>Therese-Giehse-Allee 18 München 81739</t>
  </si>
  <si>
    <t>214</t>
  </si>
  <si>
    <t>R2014/162</t>
  </si>
  <si>
    <t>KNr: 501 --- RNr: R2014/162</t>
  </si>
  <si>
    <t>STAPLES München II (Kauf:Aktenvern.+Rechn.Block)</t>
  </si>
  <si>
    <t>066060543</t>
  </si>
  <si>
    <t>Aktenvernichter + Rechnungsblock</t>
  </si>
  <si>
    <t>"Maria" Russische Spezialitäten</t>
  </si>
  <si>
    <t>Therese-Giehse-Alle 16 "Maria"</t>
  </si>
  <si>
    <t>Therese-Giehse-Alle 16</t>
  </si>
  <si>
    <t>Barer Call Shop</t>
  </si>
  <si>
    <t>Barerstr. 72</t>
  </si>
  <si>
    <t>Barerstraße</t>
  </si>
  <si>
    <t>089/24290260</t>
  </si>
  <si>
    <t>Barerstraße 72, München</t>
  </si>
  <si>
    <t>Getränkemarkt Müller/ Schwabing</t>
  </si>
  <si>
    <t>Schraudolphstr.30/Anna Müller</t>
  </si>
  <si>
    <t>Getränkemarkt Müller</t>
  </si>
  <si>
    <t>Anna Müller</t>
  </si>
  <si>
    <t>Schraudolphstraße</t>
  </si>
  <si>
    <t>Nachfragen ob Interesse</t>
  </si>
  <si>
    <t>Schraudoplhstr.30+Barerstr.72</t>
  </si>
  <si>
    <t>8,5</t>
  </si>
  <si>
    <t>Schraudolphstr.30, München</t>
  </si>
  <si>
    <t>Sultan-Backparadies</t>
  </si>
  <si>
    <t>Stemplingeranger 4</t>
  </si>
  <si>
    <t>Stemplingeranger</t>
  </si>
  <si>
    <t>Stemplingeranger 4, München</t>
  </si>
  <si>
    <t>Sandir Imbiss / ggü PEP</t>
  </si>
  <si>
    <t>Hanns-Seidel-Platz 2</t>
  </si>
  <si>
    <t>Sandir Imbis</t>
  </si>
  <si>
    <t>V. Sandir</t>
  </si>
  <si>
    <t>Hanns-Seidel-Platz</t>
  </si>
  <si>
    <t>Cheff/Handy sagt es geht nicht, nochm.nachfr.</t>
  </si>
  <si>
    <t>Sandir Imbiss</t>
  </si>
  <si>
    <t>Hanns-Seidel-Platz 2, München</t>
  </si>
  <si>
    <t>3,5</t>
  </si>
  <si>
    <t>Eigenbetriebliche Zwecke</t>
  </si>
  <si>
    <t>Klebeband - laut, transparent</t>
  </si>
  <si>
    <t>Buchung von Bar nach Giro</t>
  </si>
  <si>
    <t>Bar auf Giro eingezahlt</t>
  </si>
  <si>
    <t>17696</t>
  </si>
  <si>
    <t>20*96 EnergyX</t>
  </si>
  <si>
    <t>02.07.2014</t>
  </si>
  <si>
    <t>Entnahme</t>
  </si>
  <si>
    <t>Entnahme 1800 €</t>
  </si>
  <si>
    <t>R2014/163</t>
  </si>
  <si>
    <t>KNr: 213 --- RNr: R2014/163</t>
  </si>
  <si>
    <t>Berg-am-Laim-Str. 59 München 81673</t>
  </si>
  <si>
    <t>213</t>
  </si>
  <si>
    <t>Sb Cafe Giddu</t>
  </si>
  <si>
    <t>Berg-am-Laim-Str.59, München</t>
  </si>
  <si>
    <t>Berg-a.Laim-Str.59,Münche/SB Cafe</t>
  </si>
  <si>
    <t>Sb Bäckerei -  Schlüsselbergstr.36</t>
  </si>
  <si>
    <t>Dijana Mamuzic</t>
  </si>
  <si>
    <t>Sb-Bäckerei</t>
  </si>
  <si>
    <t>Schlüsselbergstraße</t>
  </si>
  <si>
    <t>0,55 zum testen verk. dann evtl. 0,49</t>
  </si>
  <si>
    <t>Freunde haben Läden, sie fragt nach!!</t>
  </si>
  <si>
    <t>R2014/164</t>
  </si>
  <si>
    <t>KNr: 215 --- RNr: R2014/164</t>
  </si>
  <si>
    <t>Schlüsselbergstraße 36 München 81673</t>
  </si>
  <si>
    <t>215</t>
  </si>
  <si>
    <t>Schlüsselbergstr.36/Sb-Bäckerei</t>
  </si>
  <si>
    <t>Schlüsselbergstr.36, München</t>
  </si>
  <si>
    <t>Backshop Bal 82a</t>
  </si>
  <si>
    <t>Engin Usanmaz</t>
  </si>
  <si>
    <t>Backshop Bal</t>
  </si>
  <si>
    <t>Berg-am-Laim-Straße</t>
  </si>
  <si>
    <t>82 a</t>
  </si>
  <si>
    <t>Berg-am-Laim-Str.82a, München</t>
  </si>
  <si>
    <t>"Blay Watch Cafe" BergAmLaim</t>
  </si>
  <si>
    <t>Petar Jovanovic</t>
  </si>
  <si>
    <t>Blay Watch Cafe</t>
  </si>
  <si>
    <t>Berg-am-Laim-Str.91, München</t>
  </si>
  <si>
    <t>"Babylon"</t>
  </si>
  <si>
    <t>Manuel Micha Beschar</t>
  </si>
  <si>
    <t>"Babylon Markt"</t>
  </si>
  <si>
    <t>Berg-am-Laim-Str.65,München("Babylon")</t>
  </si>
  <si>
    <t>"Babylon Markt" Manuel Micha Beschar</t>
  </si>
  <si>
    <t>Berg-am-Laim-Str.65, München</t>
  </si>
  <si>
    <t>R2014/165</t>
  </si>
  <si>
    <t>KNr: 550 --- RNr: R2014/165</t>
  </si>
  <si>
    <t>Berg-am-Laim-Straße 65 München 81673</t>
  </si>
  <si>
    <t>550</t>
  </si>
  <si>
    <t>Himmet Market</t>
  </si>
  <si>
    <t>Bad-Schachener-Str. 14</t>
  </si>
  <si>
    <t>Himmet Tekin</t>
  </si>
  <si>
    <t>Bad-Schachener-Straße</t>
  </si>
  <si>
    <t>meistens ist er am Vormittags da</t>
  </si>
  <si>
    <t>Bad-Schachener-Str.14, München</t>
  </si>
  <si>
    <t>R2014/166</t>
  </si>
  <si>
    <t>KNr: 551 --- RNr: R2014/166</t>
  </si>
  <si>
    <t>Bad-Schachener-Straße 14 München 81671</t>
  </si>
  <si>
    <t>551</t>
  </si>
  <si>
    <t xml:space="preserve">Er will: -Blizzeria -Sisha Juice </t>
  </si>
  <si>
    <t>Cafe Lyends/Spielothek(Insbr.Ring 142/144?)</t>
  </si>
  <si>
    <t>R2014/167</t>
  </si>
  <si>
    <t>KNr: 260 --- RNr: R2014/167</t>
  </si>
  <si>
    <t>Berg-am-Laim-Straße 82 a München 81673</t>
  </si>
  <si>
    <t>260</t>
  </si>
  <si>
    <t>Kiosk - UBahn Innsbr.Ring</t>
  </si>
  <si>
    <t>Frisch u Lecker/Ayse Varyok</t>
  </si>
  <si>
    <t>Frisch und Lecker/U-Bahn Innsbr.Ring</t>
  </si>
  <si>
    <t>Ayse Varyok</t>
  </si>
  <si>
    <t>Innsbrucker Ring</t>
  </si>
  <si>
    <t>Zollbeamtin/Sie hat 2ten Laden Mosacher Bhf</t>
  </si>
  <si>
    <t>Frisch u Lecker/UBahnhof Innsbr.Ring</t>
  </si>
  <si>
    <t>Innsbrucker Ring(UBahn), 81673 München</t>
  </si>
  <si>
    <t>"Frisch u Lecker" UBahn.Innsbr.Ring, München</t>
  </si>
  <si>
    <t>2,8</t>
  </si>
  <si>
    <t>R2014/168</t>
  </si>
  <si>
    <t>KNr: 305 --- RNr: R2014/168</t>
  </si>
  <si>
    <t>Innsbrucker Ring  München 81671</t>
  </si>
  <si>
    <t>Erster Verkauf. Sie gibt die Hälfte in ihren 2ten Laden, Mosach Bhf</t>
  </si>
  <si>
    <t>305</t>
  </si>
  <si>
    <t>Ihle - Schatzbogen/Kreillerstr.</t>
  </si>
  <si>
    <t>Elmir Aganbegovic</t>
  </si>
  <si>
    <t>Franchise-Ihle-Back-Shop</t>
  </si>
  <si>
    <t>Fa.Elmir Aganbegovic</t>
  </si>
  <si>
    <t>Kennt Chefin in der Einsteinstr.Ihle/Sixt</t>
  </si>
  <si>
    <t>0,49€</t>
  </si>
  <si>
    <t>Kreillerstr.151,München (Ihle)</t>
  </si>
  <si>
    <t>Kreillerstr.151,München</t>
  </si>
  <si>
    <t>R2014/169</t>
  </si>
  <si>
    <t>KNr: 204 --- RNr: R2014/169</t>
  </si>
  <si>
    <t>Kreillerstraße 151 München 81825</t>
  </si>
  <si>
    <t>204</t>
  </si>
  <si>
    <t>Hofman Bakery/Ugur Ekiz</t>
  </si>
  <si>
    <t>Im Sep.(vor Schulanfang) vorbeischaun</t>
  </si>
  <si>
    <t>Hofmann, Bakery-Coffee-Ice</t>
  </si>
  <si>
    <t>Ugur Ekiz</t>
  </si>
  <si>
    <t>Balanstraße</t>
  </si>
  <si>
    <t>Im September vor Schulanfang vorbeisch.</t>
  </si>
  <si>
    <t>100-200 St. sind kein Prob.</t>
  </si>
  <si>
    <t>Balanstr.204, München(Hofmann)</t>
  </si>
  <si>
    <t>Hofmann/Bakery-Coffee-Ice</t>
  </si>
  <si>
    <t>Balanstr.204, München</t>
  </si>
  <si>
    <t>Seidl's Cafe Konditorei</t>
  </si>
  <si>
    <t>Wasserburger Landstr.</t>
  </si>
  <si>
    <t>Wasserburger Landstr.231,München(Seidl's)</t>
  </si>
  <si>
    <t>Seidl's Cafe-Konditorei</t>
  </si>
  <si>
    <t>Wasserburger Landstr.231, München</t>
  </si>
  <si>
    <t>Einsteinstraße</t>
  </si>
  <si>
    <t>Cornelia Schweimer</t>
  </si>
  <si>
    <t>Lotto Tabak Presse</t>
  </si>
  <si>
    <t>R2014/170</t>
  </si>
  <si>
    <t>KNr: 450 --- RNr: R2014/170</t>
  </si>
  <si>
    <t>Schraudolphstraße 30 München 80799</t>
  </si>
  <si>
    <t>450</t>
  </si>
  <si>
    <t>01763616550</t>
  </si>
  <si>
    <t>08985672553</t>
  </si>
  <si>
    <t>08941142551</t>
  </si>
  <si>
    <t>01798808037</t>
  </si>
  <si>
    <t>017649756401</t>
  </si>
  <si>
    <t>017684714472</t>
  </si>
  <si>
    <t>017661757948</t>
  </si>
  <si>
    <t>017649031956</t>
  </si>
  <si>
    <t>08927312561</t>
  </si>
  <si>
    <t>08945439901</t>
  </si>
  <si>
    <t>08944451919</t>
  </si>
  <si>
    <t>017668374018</t>
  </si>
  <si>
    <t>017645547832</t>
  </si>
  <si>
    <t>08940287820</t>
  </si>
  <si>
    <t>0896376245</t>
  </si>
  <si>
    <t>015779788085</t>
  </si>
  <si>
    <t>015115759726</t>
  </si>
  <si>
    <t>016096472824</t>
  </si>
  <si>
    <t>01776411520</t>
  </si>
  <si>
    <t>08964299721</t>
  </si>
  <si>
    <t>0894307474</t>
  </si>
  <si>
    <t>08941079273</t>
  </si>
  <si>
    <t>08947084673</t>
  </si>
  <si>
    <t>01711631643</t>
  </si>
  <si>
    <t>Bezahl-datum</t>
  </si>
  <si>
    <t xml:space="preserve">Rechnungs-datum </t>
  </si>
  <si>
    <t>Vistaprint / 250Visitenkarten</t>
  </si>
  <si>
    <t>V32Z5-W2A21-4K6</t>
  </si>
  <si>
    <t>Visitenkarten (250St.)</t>
  </si>
  <si>
    <t>Ihle - Einsteinstraße 96</t>
  </si>
  <si>
    <t>Frau Seferovic</t>
  </si>
  <si>
    <t>Seferovic Machnicki Fikreta</t>
  </si>
  <si>
    <t>Möchte in Rechn. nicht "Ihle"stehen haben</t>
  </si>
  <si>
    <t>Ihle, Fr.Severovic</t>
  </si>
  <si>
    <t>Einsteinstr.96, 81675 München</t>
  </si>
  <si>
    <t>Einsteinstr.96,München</t>
  </si>
  <si>
    <t>R2014/171</t>
  </si>
  <si>
    <t>KNr: 205 --- RNr: R2014/171</t>
  </si>
  <si>
    <t>Einsteinstraße 96 München 81675</t>
  </si>
  <si>
    <t>205</t>
  </si>
  <si>
    <t>R2014/172</t>
  </si>
  <si>
    <t>KNr: 213 --- RNr: R2014/172</t>
  </si>
  <si>
    <t>Merotoner über "Hit-Meister" / Druckerpatronen</t>
  </si>
  <si>
    <t>1151711730435</t>
  </si>
  <si>
    <t>Druckerpatronen (1 Cent Rechnugsdifferenz in MwSt.?bereits gemeldet)</t>
  </si>
  <si>
    <t>Aral Tankstelle, Davide Cosentino</t>
  </si>
  <si>
    <t>Berg-am-Laim-Str. 60</t>
  </si>
  <si>
    <t xml:space="preserve">Tankstelle Aral BAL		</t>
  </si>
  <si>
    <t>Berg am Laim</t>
  </si>
  <si>
    <t>Davide Cosentino</t>
  </si>
  <si>
    <t>089/45409628</t>
  </si>
  <si>
    <t>(01718300738) w</t>
  </si>
  <si>
    <t>am Festnetz anrufen.</t>
  </si>
  <si>
    <t>0,59 €</t>
  </si>
  <si>
    <t>Lolly Pop</t>
  </si>
  <si>
    <t>Lolly Pol</t>
  </si>
  <si>
    <t>Christoph Blum</t>
  </si>
  <si>
    <t>St.-Veit-Straße</t>
  </si>
  <si>
    <t>08938907817</t>
  </si>
  <si>
    <t>St.-Veit-Str.44 Kiostk "LollyPop"</t>
  </si>
  <si>
    <t>0,7</t>
  </si>
  <si>
    <t>Kioskt "Lolly Pop"</t>
  </si>
  <si>
    <t>St.-Veit-Str.44,München</t>
  </si>
  <si>
    <t>Kiosk - Einstein</t>
  </si>
  <si>
    <t>Einsteinstr. 130,M./Cornelia Schweimer</t>
  </si>
  <si>
    <t>Cornelia Schweimer"Lotto-Tabak-Presse"</t>
  </si>
  <si>
    <t>Einsteinstr.130, München</t>
  </si>
  <si>
    <t xml:space="preserve">0,49 € </t>
  </si>
  <si>
    <t>R2014/173</t>
  </si>
  <si>
    <t>KNr: 530 --- RNr: R2014/173</t>
  </si>
  <si>
    <t>Berg-am-Laim-Str. 91 München 81673</t>
  </si>
  <si>
    <t>530</t>
  </si>
  <si>
    <t>R2014/174</t>
  </si>
  <si>
    <t>KNr: 314 --- RNr: R2014/174</t>
  </si>
  <si>
    <t>Einsteinstraße 130 München 81675</t>
  </si>
  <si>
    <t>314</t>
  </si>
  <si>
    <t>Finanzamt: monatl. USt-Voranmeldung</t>
  </si>
  <si>
    <t xml:space="preserve">Juni 14 Umsatzsteuervoranm. </t>
  </si>
  <si>
    <t>R2014/175</t>
  </si>
  <si>
    <t>KNr: 302 --- RNr: R2014/175</t>
  </si>
  <si>
    <t>Seidl's Cafe</t>
  </si>
  <si>
    <t>WaBuLa</t>
  </si>
  <si>
    <t>Fritz Seidl</t>
  </si>
  <si>
    <t>0,55</t>
  </si>
  <si>
    <t>R2014/176</t>
  </si>
  <si>
    <t>KNr: 570 --- RNr: R2014/176</t>
  </si>
  <si>
    <t>Wasserburger Landstr. 231 München 81827</t>
  </si>
  <si>
    <t>570</t>
  </si>
  <si>
    <t>Kiosk -  UBahn Josephsburg</t>
  </si>
  <si>
    <t>Herr Müller</t>
  </si>
  <si>
    <t>U-Bhf. Kiosk Josphsburg</t>
  </si>
  <si>
    <t>Tel. nachfragen</t>
  </si>
  <si>
    <t>0,55 €</t>
  </si>
  <si>
    <t>Kreillerstr.34,M.,Kiosk UBhfJosephsburg</t>
  </si>
  <si>
    <t>UBhf.Kiosk Jesphsburg</t>
  </si>
  <si>
    <t>Kreillerstr.34, München</t>
  </si>
  <si>
    <t>R2014/177</t>
  </si>
  <si>
    <t>KNr: 306 --- RNr: R2014/177</t>
  </si>
  <si>
    <t>Kreillerstraße 34 München 81673</t>
  </si>
  <si>
    <t>306</t>
  </si>
  <si>
    <t>Kiosk - Baumkirchnerstr.1</t>
  </si>
  <si>
    <t>Berg am Laimer Imbiss</t>
  </si>
  <si>
    <t>Berg am laimer Imbiss</t>
  </si>
  <si>
    <t>Baumkirchner Straße</t>
  </si>
  <si>
    <t>01577/2904925</t>
  </si>
  <si>
    <t>0,49 € nach langem verhandeln</t>
  </si>
  <si>
    <t>Soll nächstes Mal mehr abnehmen</t>
  </si>
  <si>
    <t>Baumkirchnerstr.1,M. Kiosk</t>
  </si>
  <si>
    <t>1,5</t>
  </si>
  <si>
    <t>Kiosk"Berg am Laimer Imbiss"</t>
  </si>
  <si>
    <t>Baumkirchner Str. 1, München</t>
  </si>
  <si>
    <t>R2014/178</t>
  </si>
  <si>
    <t>KNr: 320 --- RNr: R2014/178</t>
  </si>
  <si>
    <t>Baumkirchner Straße 1 München 81673</t>
  </si>
  <si>
    <t>320</t>
  </si>
  <si>
    <t>Wasserburger Landsr.255,M."Bakery&amp;Cofe"</t>
  </si>
  <si>
    <t>"Bakery&amp;Coffe World Munich"</t>
  </si>
  <si>
    <t>Wasserburger Landstr.255, München</t>
  </si>
  <si>
    <t>Günes Market</t>
  </si>
  <si>
    <t>Messestadt,Lehrer-wirth.15</t>
  </si>
  <si>
    <t>Lehrer-Wirth-Straße</t>
  </si>
  <si>
    <t>08994369976 ??</t>
  </si>
  <si>
    <t>Lehrer-Wirth-Str.15,M."GünesMarket"</t>
  </si>
  <si>
    <t>5,5</t>
  </si>
  <si>
    <t>"Günes Market"</t>
  </si>
  <si>
    <t>Lehrer-Wirth-Str.15,München</t>
  </si>
  <si>
    <t>R2014/179</t>
  </si>
  <si>
    <t>KNr: 552 --- RNr: R2014/179</t>
  </si>
  <si>
    <t>Lehrer-Wirth-Straße 15 München 81829</t>
  </si>
  <si>
    <t>552</t>
  </si>
  <si>
    <t>Backshop Riem</t>
  </si>
  <si>
    <t>Lehrer-Wirth-Str.23</t>
  </si>
  <si>
    <t>Riemer-Backship</t>
  </si>
  <si>
    <t>Dragan Cica</t>
  </si>
  <si>
    <t>Lehrer-Wirth-Str.</t>
  </si>
  <si>
    <t>08994389945</t>
  </si>
  <si>
    <t>Riemer-Backshop/Lehrer-Wirth-Str.23,M.</t>
  </si>
  <si>
    <t>Backshop-Riem</t>
  </si>
  <si>
    <t>Leher-Wirth-Str.23,Müncheb</t>
  </si>
  <si>
    <t>R2014/180</t>
  </si>
  <si>
    <t>KNr: 261 --- RNr: R2014/180</t>
  </si>
  <si>
    <t>Lehrer-Wirth-Str. 23 München 81829</t>
  </si>
  <si>
    <t>261</t>
  </si>
  <si>
    <t>R2014/181</t>
  </si>
  <si>
    <t>KNr: 250 --- RNr: R2014/181</t>
  </si>
  <si>
    <t>Getränkeautomatenaufst.</t>
  </si>
  <si>
    <t>Mast Alex</t>
  </si>
  <si>
    <t>Fa MAM</t>
  </si>
  <si>
    <t>Herr Mast</t>
  </si>
  <si>
    <t>Hochkönigstraße</t>
  </si>
  <si>
    <t>Heltauer Str. 32</t>
  </si>
  <si>
    <t>Fa. MAM (Getränkeautom.aufst.)</t>
  </si>
  <si>
    <t>Hochkönigstr. 16, M</t>
  </si>
  <si>
    <t>R2014/182</t>
  </si>
  <si>
    <t>KNr: 440 --- RNr: R2014/182</t>
  </si>
  <si>
    <t>Hochkönigstraße 16 München 81825</t>
  </si>
  <si>
    <t>440</t>
  </si>
  <si>
    <t>Tradecal GmbH / 20*96EnergyX</t>
  </si>
  <si>
    <t>19101</t>
  </si>
  <si>
    <t>Versand:Palette Energyx:70+Steuer:83,30€</t>
  </si>
  <si>
    <t>Klebe:0,75:Er kauft bei Fremdfirma für 0,57</t>
  </si>
  <si>
    <t>Kiosk - St.-Veit/Tram</t>
  </si>
  <si>
    <t>0,55€</t>
  </si>
  <si>
    <t>Kiosk - UBahn Truderin/Untergeschoss</t>
  </si>
  <si>
    <t>Kiosk - UBahn Josephsburg</t>
  </si>
  <si>
    <t>Kiosk - S-Bahn Riem</t>
  </si>
  <si>
    <t>R2014/183</t>
  </si>
  <si>
    <t>KNr: 321 --- RNr: R2014/183</t>
  </si>
  <si>
    <t>St.-Veit-Straße 44 München 81673</t>
  </si>
  <si>
    <t>321</t>
  </si>
  <si>
    <t>Energy: 0,59 / 0,54 verhandeln über Abnah.</t>
  </si>
  <si>
    <t>R2014/184</t>
  </si>
  <si>
    <t>KNr: 401 --- RNr: R2014/184</t>
  </si>
  <si>
    <t>24 für 0,59 €. zuvor 0,54 € - wenn sie nachfragt-verhandeln</t>
  </si>
  <si>
    <t>Neuer Pächter ab 1.8.14. Murad</t>
  </si>
  <si>
    <t>R2014/185</t>
  </si>
  <si>
    <t>KNr: 213 --- RNr: R2014/185</t>
  </si>
  <si>
    <t>vermutl. letzter Verkauf über alten Chef.Ab 1.8.14 neuer Chef-Murad</t>
  </si>
  <si>
    <t>R2014/186</t>
  </si>
  <si>
    <t>KNr: 205 --- RNr: R2014/186</t>
  </si>
  <si>
    <t>0,49 €. Zuletzt 48 St. für 0,55 €. Bei Nachfrage verhandeln</t>
  </si>
  <si>
    <t>Berg Am Laim Str 99</t>
  </si>
  <si>
    <t>M &amp; M Tele Center</t>
  </si>
  <si>
    <t>089 46279446</t>
  </si>
  <si>
    <t>Berg-am-Laim-Str.99,M./M&amp;M</t>
  </si>
  <si>
    <t>M&amp;M Tele Center</t>
  </si>
  <si>
    <t>Berg-am-Laim-Str.99, München</t>
  </si>
  <si>
    <t>Bäckerei Brücklmaier</t>
  </si>
  <si>
    <t>Neubiberger Str.11</t>
  </si>
  <si>
    <t>Neubiberger Straße</t>
  </si>
  <si>
    <t>089 677606</t>
  </si>
  <si>
    <t>Neubibergerstr.11,M. Bäckerei Brücklmaier</t>
  </si>
  <si>
    <t>Neubiberger Str.11, München</t>
  </si>
  <si>
    <t>R2014/187</t>
  </si>
  <si>
    <t>KNr: 230 --- RNr: R2014/187</t>
  </si>
  <si>
    <t>Neubiberger Straße 11 München 81737</t>
  </si>
  <si>
    <t>230</t>
  </si>
  <si>
    <t>R2014/188</t>
  </si>
  <si>
    <t>KNr: 260 --- RNr: R2014/188</t>
  </si>
  <si>
    <t>Pizza- Kaiser Pizza</t>
  </si>
  <si>
    <t>Aschheimer Str.22(ggü Feuerwehr.)</t>
  </si>
  <si>
    <t>Kaiser Pizza</t>
  </si>
  <si>
    <t>Aschheimer Straße</t>
  </si>
  <si>
    <t>0,55 € dann 0,49 € vereinbart</t>
  </si>
  <si>
    <t>Aschheimer Str.23, M."Kaiser Pizza"</t>
  </si>
  <si>
    <t>Aschheimer Str.23, München</t>
  </si>
  <si>
    <t>R2014/189</t>
  </si>
  <si>
    <t>KNr: 580 --- RNr: R2014/189</t>
  </si>
  <si>
    <t>Aschheimer Straße 23 München 81671</t>
  </si>
  <si>
    <t>(hat letztens statt 31,42 € nur 30,00 € gezahlt)</t>
  </si>
  <si>
    <t>580</t>
  </si>
  <si>
    <t>R2014/190</t>
  </si>
  <si>
    <t>KNr: 510 --- RNr: R2014/190</t>
  </si>
  <si>
    <t>Berg-am-Laim-Straße 99 München 81673</t>
  </si>
  <si>
    <t>510</t>
  </si>
  <si>
    <t>Bäckerei - Cafe Ferdaus</t>
  </si>
  <si>
    <t>Grillparzerstraße 40</t>
  </si>
  <si>
    <t>Bäckerei-Cafe Ferdaus</t>
  </si>
  <si>
    <t>Grillparzerstraße</t>
  </si>
  <si>
    <t>089 45226423</t>
  </si>
  <si>
    <t>Grillparzerstr.40,M."Bäckerei-Cafe Ferdaus"</t>
  </si>
  <si>
    <t>Grillparzerstr. 40, München</t>
  </si>
  <si>
    <t>Altöttinger Str.33</t>
  </si>
  <si>
    <t>Altöttinger Straße</t>
  </si>
  <si>
    <t>089 17929262</t>
  </si>
  <si>
    <t>Altöttinger Str.33,M."Kebaphaus"</t>
  </si>
  <si>
    <t>2,3</t>
  </si>
  <si>
    <t>Kebaphaus-Anatolia</t>
  </si>
  <si>
    <t>Altöttinger Str. 33, München</t>
  </si>
  <si>
    <t xml:space="preserve">Tankstelle OMV </t>
  </si>
  <si>
    <t>Auerfeldstr.21</t>
  </si>
  <si>
    <t>Auerfeldstraße</t>
  </si>
  <si>
    <t>zum Test dagelassen-nachfragen!!!</t>
  </si>
  <si>
    <t>Auerfeldstr.21,MÜnchen(OMV Tankst.)</t>
  </si>
  <si>
    <t>OMV Tankstelle</t>
  </si>
  <si>
    <t>Auerfeldstraße.21, München</t>
  </si>
  <si>
    <t>089 487038</t>
  </si>
  <si>
    <t>20187035</t>
  </si>
  <si>
    <t>Döner - Kebaphaus Anatolia</t>
  </si>
  <si>
    <t>Anatolia Kebaphaus</t>
  </si>
  <si>
    <t>Celik Horu</t>
  </si>
  <si>
    <t>R2014/191</t>
  </si>
  <si>
    <t>KNr: 270 --- RNr: R2014/191</t>
  </si>
  <si>
    <t>Altöttinger Straße 33 München 81673</t>
  </si>
  <si>
    <t>270</t>
  </si>
  <si>
    <t>R2014/192</t>
  </si>
  <si>
    <t>KNr: 303 --- RNr: R2014/192</t>
  </si>
  <si>
    <t>Anbieten nächstes mal günstiger zu machen</t>
  </si>
  <si>
    <t>R2014/193</t>
  </si>
  <si>
    <t>KNr: 261 --- RNr: R2014/193</t>
  </si>
  <si>
    <t>Geißlitz - Gramüller &amp; Co. GmbH</t>
  </si>
  <si>
    <t xml:space="preserve">Keferloher Marktstraße </t>
  </si>
  <si>
    <t>Putzbrunn</t>
  </si>
  <si>
    <t>089 465048</t>
  </si>
  <si>
    <t>0172 8305059 (Günter Richter,Vertrieb)</t>
  </si>
  <si>
    <t>0,51 € zum test, dann vereinbart bis0,45€</t>
  </si>
  <si>
    <t>Keferloher-Markt-Str.17,85640 Putzbrunn</t>
  </si>
  <si>
    <t>Geißlitz - Gramüller &amp; co.GmbH</t>
  </si>
  <si>
    <t>Geißlitz-Gramüller &amp; Co.GmbH</t>
  </si>
  <si>
    <t>R2014/194</t>
  </si>
  <si>
    <t>KNr: 010 --- RNr: R2014/194</t>
  </si>
  <si>
    <t>Keferloher Marktstraße  17 Putzbrunn 85640</t>
  </si>
  <si>
    <t>für 0,51 € zum testen. Vereinbart dann bis 0,45 € runter.</t>
  </si>
  <si>
    <t>010</t>
  </si>
  <si>
    <t>Einzahlung Bar an Giro</t>
  </si>
  <si>
    <t>Führichstr.41M; RiemerStr.199</t>
  </si>
  <si>
    <t>0,49€:Filialen:Zehntf.37;ÄußereHauptstr16Neubiberg</t>
  </si>
  <si>
    <t>geisslitzgramueller@arcor.de</t>
  </si>
  <si>
    <t>Tradecal GmbH (20*96Energyx)</t>
  </si>
  <si>
    <t>20552</t>
  </si>
  <si>
    <t>Döner -  Sultan Backparadies</t>
  </si>
  <si>
    <t>Neuherbergstraße 117</t>
  </si>
  <si>
    <t>Sultan Backparadies GmbH</t>
  </si>
  <si>
    <t>Neuherbergstraße</t>
  </si>
  <si>
    <t>08917929955</t>
  </si>
  <si>
    <t>015773322207 JuniorBoss(Ferhat??)</t>
  </si>
  <si>
    <t>0,55 € Bei größerer Abnahme alle in eine</t>
  </si>
  <si>
    <t>Filiale-&gt; 0,49 €</t>
  </si>
  <si>
    <t>Neuherbergstr.117,München(Sultan)</t>
  </si>
  <si>
    <t>14,5</t>
  </si>
  <si>
    <t>Neuherbergstr.117,München</t>
  </si>
  <si>
    <t>R2014/195</t>
  </si>
  <si>
    <t>KNr: 275 --- RNr: R2014/195</t>
  </si>
  <si>
    <t>Neuherbergstraße 117 München 80937</t>
  </si>
  <si>
    <t>275</t>
  </si>
  <si>
    <t>Döner- Sultan Backparadies</t>
  </si>
  <si>
    <t>Goethestraße 40</t>
  </si>
  <si>
    <t>Goethestraße</t>
  </si>
  <si>
    <t>089 20030300</t>
  </si>
  <si>
    <t>01577332207 junior chef</t>
  </si>
  <si>
    <t>Neuherbergstr117,M.(Werbef.)</t>
  </si>
  <si>
    <t>Goethestraße 40, München</t>
  </si>
  <si>
    <t>Sultan Backparadies</t>
  </si>
  <si>
    <t>R2014/196</t>
  </si>
  <si>
    <t>KNr: 276 --- RNr: R2014/196</t>
  </si>
  <si>
    <t>Goethestraße 40 München 80336</t>
  </si>
  <si>
    <t>276</t>
  </si>
  <si>
    <t>Döner - Sultan</t>
  </si>
  <si>
    <t>Ferhat Ösdemir</t>
  </si>
  <si>
    <t>015773322207 (junior Boss in Neuherbergstr.)</t>
  </si>
  <si>
    <t>0,55 €. Bei größerer Abnahme evtl.in eine</t>
  </si>
  <si>
    <t>Filiale 0,49 €</t>
  </si>
  <si>
    <t>R2014/197</t>
  </si>
  <si>
    <t>KNr: 277 --- RNr: R2014/197</t>
  </si>
  <si>
    <t>Stemplingeranger 4 München 81373</t>
  </si>
  <si>
    <t>277</t>
  </si>
  <si>
    <t>307</t>
  </si>
  <si>
    <t>Kiosk u.Bahnhofshop/Firtana Silim</t>
  </si>
  <si>
    <t xml:space="preserve">Kiosk - UBahn Innsbr.Ring </t>
  </si>
  <si>
    <t>Kiosk u.Bahnhofshop am  Innsbr.Ring</t>
  </si>
  <si>
    <t>Bad-Schachener-Str.</t>
  </si>
  <si>
    <t>089 405641</t>
  </si>
  <si>
    <t>0176 31461096</t>
  </si>
  <si>
    <t xml:space="preserve">0,49 €; um </t>
  </si>
  <si>
    <t>Bad-Schachener-Str27,M; Kiosk</t>
  </si>
  <si>
    <t>Kiosk am Innsbr.Ring</t>
  </si>
  <si>
    <t>Bad-Schachener-Str.27,München</t>
  </si>
  <si>
    <t>R2014/198</t>
  </si>
  <si>
    <t>KNr: 306 --- RNr: R2014/198</t>
  </si>
  <si>
    <t>Bad-Schachener-Str. 27 München 81671</t>
  </si>
  <si>
    <t>R2014/199</t>
  </si>
  <si>
    <t>KNr: 411 --- RNr: R2014/199</t>
  </si>
  <si>
    <t>Tradecal GmbH (20*96 EnergyX)</t>
  </si>
  <si>
    <t>04.08.2014</t>
  </si>
  <si>
    <t>NOCH NICHT VERSCHICKT</t>
  </si>
  <si>
    <t>0,00 €</t>
  </si>
  <si>
    <t>Lieferfahrer: Raschit 01725665517</t>
  </si>
  <si>
    <t xml:space="preserve">Junior Achmet Ösdemir, Zenetistr.20 </t>
  </si>
  <si>
    <t>bei Ruber u Albus 4.Stock.</t>
  </si>
  <si>
    <t>017630749502</t>
  </si>
  <si>
    <t>es geht nix!! verk. für 2,5€</t>
  </si>
  <si>
    <t>Bäckerei-Konditorei Brücklmaier Betriebs GmbH</t>
  </si>
  <si>
    <t>01785562776</t>
  </si>
  <si>
    <t>August 2014</t>
  </si>
  <si>
    <t>Text</t>
  </si>
</sst>
</file>

<file path=xl/styles.xml><?xml version="1.0" encoding="utf-8"?>
<styleSheet xmlns="http://schemas.openxmlformats.org/spreadsheetml/2006/main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0.0000"/>
    <numFmt numFmtId="166" formatCode="#,##0.00\ &quot;€&quot;"/>
    <numFmt numFmtId="167" formatCode="_-* #,##0.00\ [$€-1]_-;\-* #,##0.00\ [$€-1]_-;_-* &quot;-&quot;??\ [$€-1]_-;_-@_-"/>
    <numFmt numFmtId="168" formatCode="000"/>
    <numFmt numFmtId="169" formatCode="_-* #,##0.00\ [$€-407]_-;\-* #,##0.00\ [$€-407]_-;_-* &quot;-&quot;??\ [$€-407]_-;_-@_-"/>
    <numFmt numFmtId="170" formatCode="mmmm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3"/>
      <name val="Times New Roman"/>
      <family val="1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name val="Cambria"/>
      <family val="1"/>
      <scheme val="major"/>
    </font>
    <font>
      <sz val="15"/>
      <color theme="1"/>
      <name val="Calibri"/>
      <family val="2"/>
      <scheme val="minor"/>
    </font>
    <font>
      <b/>
      <sz val="14"/>
      <name val="Times New Roman"/>
      <family val="1"/>
    </font>
    <font>
      <sz val="11"/>
      <color theme="9"/>
      <name val="Calibri"/>
      <family val="2"/>
      <scheme val="minor"/>
    </font>
    <font>
      <b/>
      <u/>
      <sz val="16"/>
      <color rgb="FFFF0000"/>
      <name val="Times New Roman"/>
      <family val="1"/>
    </font>
    <font>
      <b/>
      <sz val="16"/>
      <name val="Times New Roman"/>
      <family val="1"/>
    </font>
    <font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Times New Roman"/>
      <family val="1"/>
    </font>
    <font>
      <sz val="9.5"/>
      <color theme="1"/>
      <name val="Calibri"/>
      <family val="2"/>
      <scheme val="minor"/>
    </font>
    <font>
      <sz val="9.5"/>
      <name val="Times New Roman"/>
      <family val="1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dashed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rgb="FFFF0000"/>
      </top>
      <bottom/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49" fontId="1" fillId="2" borderId="6" xfId="0" applyNumberFormat="1" applyFont="1" applyFill="1" applyBorder="1"/>
    <xf numFmtId="0" fontId="2" fillId="2" borderId="7" xfId="0" applyFont="1" applyFill="1" applyBorder="1"/>
    <xf numFmtId="0" fontId="1" fillId="2" borderId="0" xfId="0" applyFont="1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12" xfId="0" applyFont="1" applyFill="1" applyBorder="1"/>
    <xf numFmtId="0" fontId="0" fillId="2" borderId="13" xfId="0" applyFont="1" applyFill="1" applyBorder="1"/>
    <xf numFmtId="0" fontId="0" fillId="2" borderId="12" xfId="0" applyFill="1" applyBorder="1"/>
    <xf numFmtId="2" fontId="0" fillId="2" borderId="13" xfId="0" applyNumberFormat="1" applyFont="1" applyFill="1" applyBorder="1"/>
    <xf numFmtId="0" fontId="0" fillId="2" borderId="14" xfId="0" applyFont="1" applyFill="1" applyBorder="1"/>
    <xf numFmtId="0" fontId="0" fillId="2" borderId="15" xfId="0" applyFont="1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2" borderId="0" xfId="0" applyFont="1" applyFill="1" applyBorder="1"/>
    <xf numFmtId="0" fontId="5" fillId="0" borderId="0" xfId="1" applyAlignment="1" applyProtection="1"/>
    <xf numFmtId="0" fontId="0" fillId="0" borderId="19" xfId="0" applyBorder="1"/>
    <xf numFmtId="0" fontId="7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0" xfId="0" applyNumberFormat="1" applyBorder="1"/>
    <xf numFmtId="0" fontId="9" fillId="0" borderId="0" xfId="3"/>
    <xf numFmtId="0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9" fillId="0" borderId="25" xfId="3" applyNumberFormat="1" applyFont="1" applyBorder="1" applyAlignment="1">
      <alignment horizontal="center"/>
    </xf>
    <xf numFmtId="164" fontId="9" fillId="0" borderId="27" xfId="4" applyFont="1" applyBorder="1"/>
    <xf numFmtId="164" fontId="9" fillId="0" borderId="33" xfId="4" applyFont="1" applyBorder="1"/>
    <xf numFmtId="0" fontId="0" fillId="0" borderId="27" xfId="0" applyBorder="1" applyAlignment="1">
      <alignment horizontal="center"/>
    </xf>
    <xf numFmtId="14" fontId="9" fillId="0" borderId="27" xfId="3" applyNumberFormat="1" applyFont="1" applyBorder="1" applyAlignment="1">
      <alignment horizontal="center"/>
    </xf>
    <xf numFmtId="164" fontId="9" fillId="3" borderId="25" xfId="4" applyFont="1" applyFill="1" applyBorder="1"/>
    <xf numFmtId="1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14" fillId="0" borderId="0" xfId="0" applyNumberFormat="1" applyFont="1" applyAlignment="1">
      <alignment horizontal="left"/>
    </xf>
    <xf numFmtId="0" fontId="19" fillId="0" borderId="34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20" fillId="0" borderId="35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2" fontId="0" fillId="0" borderId="0" xfId="0" applyNumberFormat="1"/>
    <xf numFmtId="166" fontId="20" fillId="0" borderId="0" xfId="0" applyNumberFormat="1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17" fontId="0" fillId="0" borderId="0" xfId="0" applyNumberFormat="1" applyAlignment="1">
      <alignment horizontal="center"/>
    </xf>
    <xf numFmtId="17" fontId="0" fillId="0" borderId="0" xfId="0" applyNumberFormat="1"/>
    <xf numFmtId="0" fontId="0" fillId="0" borderId="25" xfId="0" applyBorder="1" applyAlignment="1">
      <alignment horizontal="center"/>
    </xf>
    <xf numFmtId="0" fontId="7" fillId="0" borderId="20" xfId="0" applyFont="1" applyBorder="1"/>
    <xf numFmtId="0" fontId="12" fillId="0" borderId="0" xfId="0" applyFont="1"/>
    <xf numFmtId="0" fontId="1" fillId="0" borderId="0" xfId="0" applyFont="1" applyAlignment="1">
      <alignment wrapText="1"/>
    </xf>
    <xf numFmtId="0" fontId="23" fillId="0" borderId="0" xfId="0" applyFont="1"/>
    <xf numFmtId="0" fontId="0" fillId="0" borderId="0" xfId="0" applyAlignment="1">
      <alignment horizontal="left"/>
    </xf>
    <xf numFmtId="49" fontId="9" fillId="0" borderId="27" xfId="3" applyNumberFormat="1" applyFont="1" applyBorder="1" applyAlignment="1">
      <alignment horizontal="center"/>
    </xf>
    <xf numFmtId="49" fontId="9" fillId="0" borderId="25" xfId="3" applyNumberFormat="1" applyFont="1" applyBorder="1" applyAlignment="1">
      <alignment horizontal="center"/>
    </xf>
    <xf numFmtId="168" fontId="0" fillId="0" borderId="0" xfId="0" applyNumberFormat="1"/>
    <xf numFmtId="0" fontId="24" fillId="0" borderId="20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0" fillId="0" borderId="0" xfId="3" applyNumberFormat="1" applyFont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164" fontId="10" fillId="0" borderId="17" xfId="3" applyNumberFormat="1" applyFont="1" applyBorder="1" applyAlignment="1">
      <alignment horizontal="left"/>
    </xf>
    <xf numFmtId="167" fontId="11" fillId="0" borderId="0" xfId="3" applyNumberFormat="1" applyFont="1" applyBorder="1" applyAlignment="1">
      <alignment horizontal="left"/>
    </xf>
    <xf numFmtId="166" fontId="0" fillId="0" borderId="0" xfId="0" applyNumberFormat="1" applyAlignment="1">
      <alignment horizontal="left"/>
    </xf>
    <xf numFmtId="166" fontId="9" fillId="0" borderId="0" xfId="3" applyNumberFormat="1" applyFont="1" applyBorder="1" applyAlignment="1">
      <alignment horizontal="left"/>
    </xf>
    <xf numFmtId="166" fontId="0" fillId="0" borderId="0" xfId="0" applyNumberFormat="1"/>
    <xf numFmtId="0" fontId="24" fillId="0" borderId="20" xfId="0" applyFont="1" applyBorder="1" applyAlignment="1">
      <alignment horizontal="left" vertical="center"/>
    </xf>
    <xf numFmtId="0" fontId="24" fillId="0" borderId="20" xfId="0" applyFont="1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10" fillId="0" borderId="17" xfId="3" applyNumberFormat="1" applyFont="1" applyFill="1" applyBorder="1" applyAlignment="1">
      <alignment horizontal="left"/>
    </xf>
    <xf numFmtId="166" fontId="9" fillId="0" borderId="0" xfId="3" applyNumberFormat="1" applyFont="1" applyBorder="1" applyAlignment="1">
      <alignment horizontal="right"/>
    </xf>
    <xf numFmtId="166" fontId="9" fillId="0" borderId="17" xfId="3" applyNumberFormat="1" applyFont="1" applyBorder="1" applyAlignment="1">
      <alignment horizontal="right"/>
    </xf>
    <xf numFmtId="14" fontId="10" fillId="0" borderId="17" xfId="3" applyNumberFormat="1" applyFont="1" applyFill="1" applyBorder="1" applyAlignment="1">
      <alignment horizontal="left"/>
    </xf>
    <xf numFmtId="0" fontId="10" fillId="0" borderId="0" xfId="3" applyNumberFormat="1" applyFont="1" applyFill="1" applyBorder="1" applyAlignment="1">
      <alignment horizontal="left"/>
    </xf>
    <xf numFmtId="14" fontId="10" fillId="0" borderId="0" xfId="3" applyNumberFormat="1" applyFont="1" applyBorder="1" applyAlignment="1">
      <alignment horizontal="left"/>
    </xf>
    <xf numFmtId="166" fontId="11" fillId="0" borderId="0" xfId="3" applyNumberFormat="1" applyFont="1" applyBorder="1" applyAlignment="1">
      <alignment horizontal="right"/>
    </xf>
    <xf numFmtId="167" fontId="26" fillId="0" borderId="0" xfId="3" applyNumberFormat="1" applyFont="1" applyBorder="1" applyAlignment="1">
      <alignment horizontal="left"/>
    </xf>
    <xf numFmtId="14" fontId="9" fillId="0" borderId="25" xfId="3" applyNumberFormat="1" applyFont="1" applyBorder="1" applyAlignment="1">
      <alignment horizontal="center" vertical="center"/>
    </xf>
    <xf numFmtId="1" fontId="9" fillId="4" borderId="25" xfId="2" applyNumberFormat="1" applyFont="1" applyFill="1" applyBorder="1" applyAlignment="1">
      <alignment horizontal="center" vertical="center"/>
    </xf>
    <xf numFmtId="44" fontId="9" fillId="0" borderId="27" xfId="5" applyFont="1" applyFill="1" applyBorder="1" applyAlignment="1">
      <alignment horizontal="center" vertical="center"/>
    </xf>
    <xf numFmtId="44" fontId="9" fillId="0" borderId="28" xfId="5" applyFont="1" applyFill="1" applyBorder="1" applyAlignment="1">
      <alignment horizontal="left" vertical="center"/>
    </xf>
    <xf numFmtId="0" fontId="9" fillId="0" borderId="29" xfId="3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/>
    <xf numFmtId="14" fontId="9" fillId="0" borderId="27" xfId="3" applyNumberFormat="1" applyFont="1" applyBorder="1" applyAlignment="1">
      <alignment horizontal="center" vertical="center"/>
    </xf>
    <xf numFmtId="0" fontId="9" fillId="0" borderId="31" xfId="3" applyNumberFormat="1" applyFont="1" applyBorder="1" applyAlignment="1">
      <alignment horizontal="center"/>
    </xf>
    <xf numFmtId="167" fontId="8" fillId="0" borderId="0" xfId="0" applyNumberFormat="1" applyFont="1" applyBorder="1"/>
    <xf numFmtId="44" fontId="9" fillId="4" borderId="30" xfId="5" applyFont="1" applyFill="1" applyBorder="1" applyAlignment="1">
      <alignment horizontal="center" vertical="center"/>
    </xf>
    <xf numFmtId="17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7" xfId="0" applyFont="1" applyBorder="1" applyAlignment="1"/>
    <xf numFmtId="2" fontId="0" fillId="0" borderId="0" xfId="0" applyNumberFormat="1" applyAlignment="1"/>
    <xf numFmtId="0" fontId="0" fillId="0" borderId="17" xfId="0" applyBorder="1" applyAlignment="1"/>
    <xf numFmtId="49" fontId="0" fillId="0" borderId="0" xfId="0" applyNumberFormat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22" fillId="0" borderId="0" xfId="0" applyNumberFormat="1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18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169" fontId="0" fillId="0" borderId="0" xfId="0" applyNumberFormat="1" applyAlignment="1">
      <alignment horizontal="left"/>
    </xf>
    <xf numFmtId="169" fontId="1" fillId="0" borderId="0" xfId="0" applyNumberFormat="1" applyFont="1" applyAlignment="1">
      <alignment horizontal="left"/>
    </xf>
    <xf numFmtId="169" fontId="15" fillId="0" borderId="16" xfId="0" applyNumberFormat="1" applyFont="1" applyBorder="1" applyAlignment="1">
      <alignment horizontal="left"/>
    </xf>
    <xf numFmtId="169" fontId="0" fillId="0" borderId="5" xfId="0" applyNumberFormat="1" applyBorder="1" applyAlignment="1">
      <alignment horizontal="left"/>
    </xf>
    <xf numFmtId="169" fontId="0" fillId="0" borderId="16" xfId="0" applyNumberFormat="1" applyBorder="1" applyAlignment="1">
      <alignment horizontal="left"/>
    </xf>
    <xf numFmtId="169" fontId="15" fillId="0" borderId="17" xfId="0" applyNumberFormat="1" applyFont="1" applyBorder="1" applyAlignment="1">
      <alignment horizontal="left"/>
    </xf>
    <xf numFmtId="169" fontId="0" fillId="0" borderId="17" xfId="0" applyNumberFormat="1" applyBorder="1" applyAlignment="1">
      <alignment horizontal="left"/>
    </xf>
    <xf numFmtId="169" fontId="0" fillId="0" borderId="0" xfId="0" applyNumberFormat="1" applyBorder="1" applyAlignment="1">
      <alignment horizontal="left"/>
    </xf>
    <xf numFmtId="0" fontId="0" fillId="0" borderId="0" xfId="0" applyAlignment="1"/>
    <xf numFmtId="44" fontId="0" fillId="0" borderId="0" xfId="0" applyNumberFormat="1" applyBorder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166" fontId="0" fillId="5" borderId="0" xfId="0" applyNumberFormat="1" applyFill="1"/>
    <xf numFmtId="166" fontId="0" fillId="0" borderId="3" xfId="0" applyNumberFormat="1" applyBorder="1"/>
    <xf numFmtId="169" fontId="0" fillId="5" borderId="5" xfId="0" applyNumberFormat="1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164" fontId="9" fillId="0" borderId="0" xfId="4" applyFont="1" applyFill="1" applyBorder="1"/>
    <xf numFmtId="164" fontId="9" fillId="0" borderId="25" xfId="4" applyFont="1" applyBorder="1"/>
    <xf numFmtId="164" fontId="9" fillId="0" borderId="37" xfId="4" applyFont="1" applyBorder="1"/>
    <xf numFmtId="14" fontId="9" fillId="0" borderId="0" xfId="3" applyNumberFormat="1" applyFont="1" applyBorder="1" applyAlignment="1">
      <alignment horizontal="center"/>
    </xf>
    <xf numFmtId="49" fontId="9" fillId="0" borderId="0" xfId="3" applyNumberFormat="1" applyFont="1" applyBorder="1" applyAlignment="1">
      <alignment horizontal="center"/>
    </xf>
    <xf numFmtId="164" fontId="9" fillId="0" borderId="0" xfId="4" applyFont="1" applyBorder="1"/>
    <xf numFmtId="0" fontId="0" fillId="0" borderId="0" xfId="0" applyBorder="1" applyAlignment="1">
      <alignment horizontal="center"/>
    </xf>
    <xf numFmtId="164" fontId="14" fillId="0" borderId="0" xfId="0" applyNumberFormat="1" applyFont="1" applyBorder="1" applyAlignment="1">
      <alignment horizontal="left" indent="1"/>
    </xf>
    <xf numFmtId="14" fontId="28" fillId="0" borderId="0" xfId="3" applyNumberFormat="1" applyFont="1" applyBorder="1" applyAlignment="1">
      <alignment horizontal="left"/>
    </xf>
    <xf numFmtId="44" fontId="9" fillId="0" borderId="0" xfId="5" applyFont="1" applyFill="1" applyBorder="1" applyAlignment="1">
      <alignment horizontal="center" vertical="center"/>
    </xf>
    <xf numFmtId="44" fontId="9" fillId="0" borderId="0" xfId="5" applyFont="1" applyFill="1" applyBorder="1" applyAlignment="1">
      <alignment horizontal="left" vertical="center"/>
    </xf>
    <xf numFmtId="14" fontId="9" fillId="0" borderId="0" xfId="3" applyNumberFormat="1" applyFont="1" applyBorder="1" applyAlignment="1">
      <alignment horizontal="center" vertical="center"/>
    </xf>
    <xf numFmtId="14" fontId="28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 vertical="center"/>
    </xf>
    <xf numFmtId="1" fontId="9" fillId="0" borderId="0" xfId="2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/>
    </xf>
    <xf numFmtId="14" fontId="9" fillId="0" borderId="0" xfId="3" applyNumberFormat="1" applyFont="1" applyFill="1" applyBorder="1" applyAlignment="1">
      <alignment horizontal="center" vertical="center"/>
    </xf>
    <xf numFmtId="14" fontId="1" fillId="0" borderId="45" xfId="0" applyNumberFormat="1" applyFont="1" applyBorder="1"/>
    <xf numFmtId="168" fontId="1" fillId="0" borderId="46" xfId="0" applyNumberFormat="1" applyFont="1" applyBorder="1"/>
    <xf numFmtId="2" fontId="1" fillId="0" borderId="46" xfId="0" applyNumberFormat="1" applyFont="1" applyBorder="1"/>
    <xf numFmtId="0" fontId="1" fillId="0" borderId="46" xfId="0" applyFont="1" applyBorder="1" applyAlignment="1">
      <alignment horizontal="center"/>
    </xf>
    <xf numFmtId="165" fontId="1" fillId="0" borderId="46" xfId="0" applyNumberFormat="1" applyFont="1" applyBorder="1" applyAlignment="1">
      <alignment horizontal="center"/>
    </xf>
    <xf numFmtId="44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1" fillId="0" borderId="47" xfId="0" applyFont="1" applyBorder="1" applyAlignment="1">
      <alignment horizontal="center"/>
    </xf>
    <xf numFmtId="49" fontId="1" fillId="0" borderId="22" xfId="0" applyNumberFormat="1" applyFont="1" applyBorder="1"/>
    <xf numFmtId="168" fontId="1" fillId="0" borderId="23" xfId="0" applyNumberFormat="1" applyFont="1" applyBorder="1"/>
    <xf numFmtId="2" fontId="1" fillId="0" borderId="23" xfId="0" applyNumberFormat="1" applyFont="1" applyBorder="1"/>
    <xf numFmtId="0" fontId="1" fillId="0" borderId="23" xfId="0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49" fontId="10" fillId="0" borderId="44" xfId="3" applyNumberFormat="1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Border="1"/>
    <xf numFmtId="0" fontId="1" fillId="0" borderId="0" xfId="0" applyNumberFormat="1" applyFont="1" applyBorder="1"/>
    <xf numFmtId="164" fontId="10" fillId="3" borderId="42" xfId="4" applyFont="1" applyFill="1" applyBorder="1" applyAlignment="1">
      <alignment horizontal="center" wrapText="1"/>
    </xf>
    <xf numFmtId="164" fontId="10" fillId="0" borderId="41" xfId="4" applyFont="1" applyBorder="1" applyAlignment="1">
      <alignment horizontal="center"/>
    </xf>
    <xf numFmtId="164" fontId="10" fillId="0" borderId="43" xfId="4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6" fillId="0" borderId="27" xfId="3" applyFont="1" applyBorder="1" applyAlignment="1">
      <alignment horizontal="right"/>
    </xf>
    <xf numFmtId="14" fontId="10" fillId="0" borderId="41" xfId="3" applyNumberFormat="1" applyFont="1" applyBorder="1" applyAlignment="1">
      <alignment horizontal="center" vertical="center"/>
    </xf>
    <xf numFmtId="0" fontId="10" fillId="0" borderId="41" xfId="3" applyFont="1" applyBorder="1" applyAlignment="1">
      <alignment horizontal="center" vertical="center"/>
    </xf>
    <xf numFmtId="44" fontId="10" fillId="4" borderId="40" xfId="5" applyFont="1" applyFill="1" applyBorder="1" applyAlignment="1">
      <alignment horizontal="center" vertical="center"/>
    </xf>
    <xf numFmtId="1" fontId="10" fillId="4" borderId="41" xfId="2" applyNumberFormat="1" applyFont="1" applyFill="1" applyBorder="1" applyAlignment="1">
      <alignment horizontal="center" vertical="center"/>
    </xf>
    <xf numFmtId="44" fontId="10" fillId="0" borderId="41" xfId="5" applyFont="1" applyFill="1" applyBorder="1" applyAlignment="1">
      <alignment horizontal="center" vertical="center"/>
    </xf>
    <xf numFmtId="44" fontId="10" fillId="0" borderId="42" xfId="5" applyFont="1" applyFill="1" applyBorder="1" applyAlignment="1">
      <alignment horizontal="left" vertical="center"/>
    </xf>
    <xf numFmtId="0" fontId="10" fillId="0" borderId="32" xfId="3" applyNumberFormat="1" applyFont="1" applyBorder="1" applyAlignment="1">
      <alignment horizontal="center" wrapText="1"/>
    </xf>
    <xf numFmtId="0" fontId="0" fillId="0" borderId="2" xfId="0" applyBorder="1"/>
    <xf numFmtId="0" fontId="7" fillId="0" borderId="20" xfId="0" applyFont="1" applyBorder="1" applyAlignment="1">
      <alignment horizontal="left"/>
    </xf>
    <xf numFmtId="49" fontId="9" fillId="0" borderId="17" xfId="3" applyNumberFormat="1" applyFont="1" applyBorder="1" applyAlignment="1">
      <alignment horizontal="center"/>
    </xf>
    <xf numFmtId="49" fontId="9" fillId="0" borderId="41" xfId="3" applyNumberFormat="1" applyFont="1" applyBorder="1" applyAlignment="1">
      <alignment horizontal="center"/>
    </xf>
    <xf numFmtId="8" fontId="9" fillId="4" borderId="26" xfId="5" applyNumberFormat="1" applyFont="1" applyFill="1" applyBorder="1" applyAlignment="1">
      <alignment horizontal="center" vertical="center"/>
    </xf>
    <xf numFmtId="8" fontId="9" fillId="0" borderId="25" xfId="5" applyNumberFormat="1" applyFont="1" applyFill="1" applyBorder="1" applyAlignment="1">
      <alignment horizontal="center" vertical="center"/>
    </xf>
    <xf numFmtId="0" fontId="26" fillId="0" borderId="38" xfId="3" applyFont="1" applyBorder="1" applyAlignment="1">
      <alignment horizontal="right"/>
    </xf>
    <xf numFmtId="44" fontId="9" fillId="0" borderId="33" xfId="5" applyFont="1" applyFill="1" applyBorder="1" applyAlignment="1">
      <alignment horizontal="center" vertical="center"/>
    </xf>
    <xf numFmtId="44" fontId="26" fillId="0" borderId="33" xfId="5" applyFont="1" applyFill="1" applyBorder="1" applyAlignment="1">
      <alignment horizontal="center" vertical="center"/>
    </xf>
    <xf numFmtId="0" fontId="0" fillId="0" borderId="38" xfId="0" applyBorder="1" applyAlignment="1"/>
    <xf numFmtId="44" fontId="0" fillId="0" borderId="0" xfId="5" applyFont="1"/>
    <xf numFmtId="44" fontId="1" fillId="0" borderId="0" xfId="5" applyFont="1"/>
    <xf numFmtId="170" fontId="0" fillId="0" borderId="0" xfId="0" applyNumberFormat="1"/>
    <xf numFmtId="166" fontId="14" fillId="6" borderId="0" xfId="0" applyNumberFormat="1" applyFont="1" applyFill="1" applyAlignment="1"/>
    <xf numFmtId="44" fontId="0" fillId="0" borderId="0" xfId="5" applyNumberFormat="1" applyFont="1"/>
    <xf numFmtId="0" fontId="1" fillId="6" borderId="0" xfId="0" applyFont="1" applyFill="1"/>
    <xf numFmtId="44" fontId="0" fillId="0" borderId="3" xfId="0" applyNumberFormat="1" applyFont="1" applyBorder="1" applyAlignment="1">
      <alignment horizontal="right"/>
    </xf>
    <xf numFmtId="44" fontId="0" fillId="0" borderId="0" xfId="0" applyNumberFormat="1" applyFont="1" applyBorder="1" applyAlignment="1">
      <alignment horizontal="right"/>
    </xf>
    <xf numFmtId="164" fontId="30" fillId="0" borderId="0" xfId="0" applyNumberFormat="1" applyFont="1" applyBorder="1" applyAlignment="1">
      <alignment horizontal="right"/>
    </xf>
    <xf numFmtId="44" fontId="0" fillId="0" borderId="46" xfId="0" applyNumberFormat="1" applyFont="1" applyBorder="1" applyAlignment="1">
      <alignment horizontal="right"/>
    </xf>
    <xf numFmtId="44" fontId="0" fillId="0" borderId="23" xfId="0" applyNumberFormat="1" applyFont="1" applyBorder="1" applyAlignment="1">
      <alignment horizontal="right"/>
    </xf>
    <xf numFmtId="0" fontId="0" fillId="0" borderId="0" xfId="0" applyFont="1" applyAlignment="1">
      <alignment horizontal="right"/>
    </xf>
    <xf numFmtId="0" fontId="1" fillId="2" borderId="17" xfId="0" applyFont="1" applyFill="1" applyBorder="1"/>
    <xf numFmtId="0" fontId="1" fillId="0" borderId="0" xfId="0" applyFont="1" applyBorder="1" applyAlignment="1">
      <alignment horizontal="center"/>
    </xf>
    <xf numFmtId="8" fontId="2" fillId="2" borderId="7" xfId="0" applyNumberFormat="1" applyFont="1" applyFill="1" applyBorder="1"/>
    <xf numFmtId="49" fontId="9" fillId="0" borderId="0" xfId="3" applyNumberFormat="1" applyFont="1" applyFill="1" applyBorder="1" applyAlignment="1">
      <alignment horizontal="center"/>
    </xf>
    <xf numFmtId="49" fontId="9" fillId="0" borderId="0" xfId="3" applyNumberFormat="1" applyFont="1" applyFill="1" applyBorder="1" applyAlignment="1">
      <alignment horizontal="center" vertical="center"/>
    </xf>
    <xf numFmtId="49" fontId="10" fillId="0" borderId="40" xfId="3" applyNumberFormat="1" applyFont="1" applyBorder="1" applyAlignment="1">
      <alignment horizontal="center" wrapText="1"/>
    </xf>
    <xf numFmtId="49" fontId="9" fillId="0" borderId="26" xfId="3" applyNumberFormat="1" applyFont="1" applyBorder="1" applyAlignment="1">
      <alignment horizontal="center"/>
    </xf>
    <xf numFmtId="49" fontId="9" fillId="0" borderId="30" xfId="3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14" fontId="10" fillId="0" borderId="39" xfId="3" applyNumberFormat="1" applyFont="1" applyBorder="1" applyAlignment="1">
      <alignment horizontal="left" wrapText="1"/>
    </xf>
    <xf numFmtId="14" fontId="10" fillId="0" borderId="32" xfId="3" applyNumberFormat="1" applyFont="1" applyBorder="1" applyAlignment="1">
      <alignment horizontal="left" wrapText="1"/>
    </xf>
    <xf numFmtId="0" fontId="33" fillId="0" borderId="0" xfId="0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14" fontId="33" fillId="0" borderId="0" xfId="0" applyNumberFormat="1" applyFont="1" applyBorder="1" applyAlignment="1">
      <alignment horizontal="center"/>
    </xf>
    <xf numFmtId="14" fontId="33" fillId="0" borderId="25" xfId="0" applyNumberFormat="1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166" fontId="33" fillId="0" borderId="25" xfId="0" applyNumberFormat="1" applyFont="1" applyBorder="1" applyAlignment="1">
      <alignment horizontal="center"/>
    </xf>
    <xf numFmtId="14" fontId="33" fillId="0" borderId="27" xfId="0" applyNumberFormat="1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166" fontId="33" fillId="0" borderId="27" xfId="0" applyNumberFormat="1" applyFont="1" applyBorder="1" applyAlignment="1">
      <alignment horizontal="center"/>
    </xf>
    <xf numFmtId="0" fontId="33" fillId="0" borderId="0" xfId="0" applyFont="1" applyBorder="1" applyAlignment="1">
      <alignment horizontal="center" wrapText="1"/>
    </xf>
    <xf numFmtId="0" fontId="33" fillId="0" borderId="25" xfId="0" applyFont="1" applyBorder="1" applyAlignment="1">
      <alignment horizontal="center" wrapText="1"/>
    </xf>
    <xf numFmtId="0" fontId="33" fillId="0" borderId="27" xfId="0" applyFont="1" applyBorder="1" applyAlignment="1">
      <alignment horizontal="center" wrapText="1"/>
    </xf>
    <xf numFmtId="0" fontId="33" fillId="0" borderId="27" xfId="0" applyFont="1" applyBorder="1" applyAlignment="1">
      <alignment horizontal="left" wrapText="1"/>
    </xf>
    <xf numFmtId="0" fontId="19" fillId="0" borderId="0" xfId="0" applyFont="1" applyBorder="1" applyAlignment="1">
      <alignment horizontal="right"/>
    </xf>
    <xf numFmtId="14" fontId="0" fillId="5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20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27" xfId="0" applyBorder="1"/>
    <xf numFmtId="0" fontId="0" fillId="0" borderId="25" xfId="0" applyBorder="1"/>
    <xf numFmtId="0" fontId="0" fillId="0" borderId="5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168" fontId="7" fillId="0" borderId="19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4" fontId="1" fillId="0" borderId="52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2" xfId="0" applyFont="1" applyBorder="1" applyAlignment="1">
      <alignment horizontal="center" wrapText="1"/>
    </xf>
    <xf numFmtId="0" fontId="35" fillId="0" borderId="52" xfId="0" applyFont="1" applyBorder="1" applyAlignment="1">
      <alignment horizontal="center"/>
    </xf>
    <xf numFmtId="166" fontId="1" fillId="0" borderId="52" xfId="0" applyNumberFormat="1" applyFont="1" applyBorder="1" applyAlignment="1">
      <alignment horizontal="center"/>
    </xf>
    <xf numFmtId="14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1" xfId="0" applyFont="1" applyBorder="1" applyAlignment="1">
      <alignment horizontal="center" wrapText="1"/>
    </xf>
    <xf numFmtId="0" fontId="35" fillId="0" borderId="51" xfId="0" applyFont="1" applyBorder="1" applyAlignment="1">
      <alignment horizontal="center"/>
    </xf>
    <xf numFmtId="166" fontId="1" fillId="0" borderId="5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9" xfId="0" applyNumberFormat="1" applyBorder="1"/>
    <xf numFmtId="49" fontId="0" fillId="0" borderId="0" xfId="0" applyNumberFormat="1"/>
    <xf numFmtId="49" fontId="7" fillId="0" borderId="19" xfId="0" applyNumberFormat="1" applyFont="1" applyBorder="1"/>
    <xf numFmtId="49" fontId="0" fillId="0" borderId="21" xfId="0" applyNumberFormat="1" applyBorder="1"/>
    <xf numFmtId="49" fontId="0" fillId="0" borderId="20" xfId="0" applyNumberFormat="1" applyBorder="1"/>
    <xf numFmtId="14" fontId="10" fillId="0" borderId="40" xfId="3" applyNumberFormat="1" applyFont="1" applyBorder="1" applyAlignment="1">
      <alignment horizontal="center" vertical="center" wrapText="1"/>
    </xf>
    <xf numFmtId="14" fontId="9" fillId="0" borderId="31" xfId="3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3" applyFont="1" applyBorder="1" applyAlignment="1">
      <alignment horizontal="left"/>
    </xf>
    <xf numFmtId="0" fontId="9" fillId="0" borderId="25" xfId="3" applyFont="1" applyBorder="1" applyAlignment="1">
      <alignment horizontal="left"/>
    </xf>
    <xf numFmtId="0" fontId="9" fillId="0" borderId="27" xfId="3" applyFont="1" applyBorder="1" applyAlignment="1">
      <alignment horizontal="left"/>
    </xf>
    <xf numFmtId="0" fontId="31" fillId="0" borderId="49" xfId="0" applyFont="1" applyFill="1" applyBorder="1" applyAlignment="1">
      <alignment horizontal="left"/>
    </xf>
    <xf numFmtId="0" fontId="13" fillId="0" borderId="0" xfId="3" applyFont="1" applyBorder="1" applyAlignment="1">
      <alignment horizontal="left"/>
    </xf>
    <xf numFmtId="0" fontId="9" fillId="0" borderId="0" xfId="3" applyFont="1" applyFill="1" applyBorder="1" applyAlignment="1">
      <alignment horizontal="left" vertical="center"/>
    </xf>
    <xf numFmtId="0" fontId="26" fillId="0" borderId="0" xfId="3" applyFont="1" applyFill="1" applyBorder="1" applyAlignment="1">
      <alignment horizontal="left" vertical="center"/>
    </xf>
    <xf numFmtId="0" fontId="9" fillId="0" borderId="25" xfId="3" applyFont="1" applyBorder="1" applyAlignment="1">
      <alignment horizontal="left" vertical="center"/>
    </xf>
    <xf numFmtId="0" fontId="9" fillId="0" borderId="27" xfId="3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164" fontId="26" fillId="0" borderId="27" xfId="4" applyFont="1" applyFill="1" applyBorder="1" applyAlignment="1">
      <alignment horizontal="right"/>
    </xf>
    <xf numFmtId="0" fontId="29" fillId="0" borderId="33" xfId="3" applyFont="1" applyBorder="1" applyAlignment="1">
      <alignment horizontal="center" vertical="center"/>
    </xf>
    <xf numFmtId="0" fontId="29" fillId="0" borderId="48" xfId="3" applyFont="1" applyBorder="1" applyAlignment="1">
      <alignment horizontal="center" vertical="center"/>
    </xf>
    <xf numFmtId="0" fontId="29" fillId="0" borderId="38" xfId="3" applyFont="1" applyBorder="1" applyAlignment="1">
      <alignment horizontal="center" vertical="center"/>
    </xf>
    <xf numFmtId="49" fontId="32" fillId="0" borderId="0" xfId="3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44" fontId="26" fillId="0" borderId="27" xfId="5" applyFont="1" applyFill="1" applyBorder="1" applyAlignment="1">
      <alignment horizontal="center" vertical="center"/>
    </xf>
    <xf numFmtId="0" fontId="29" fillId="0" borderId="33" xfId="3" applyFont="1" applyBorder="1" applyAlignment="1">
      <alignment horizontal="center"/>
    </xf>
    <xf numFmtId="0" fontId="29" fillId="0" borderId="48" xfId="3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166" fontId="19" fillId="0" borderId="0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49" fontId="34" fillId="0" borderId="0" xfId="3" applyNumberFormat="1" applyFont="1" applyBorder="1" applyAlignment="1">
      <alignment horizontal="left"/>
    </xf>
    <xf numFmtId="49" fontId="33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4" fillId="0" borderId="20" xfId="3" applyNumberFormat="1" applyFont="1" applyBorder="1" applyAlignment="1">
      <alignment horizontal="left" vertical="center"/>
    </xf>
  </cellXfs>
  <cellStyles count="6">
    <cellStyle name="Euro" xfId="4"/>
    <cellStyle name="Hyperlink" xfId="1" builtinId="8"/>
    <cellStyle name="Prozent" xfId="2" builtinId="5"/>
    <cellStyle name="Standard" xfId="0" builtinId="0"/>
    <cellStyle name="Standard 2" xfId="3"/>
    <cellStyle name="Währung" xfId="5" builtinId="4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Grafiken!$O$4:$O$15</c:f>
              <c:numCache>
                <c:formatCode>mmm\ yy</c:formatCode>
                <c:ptCount val="12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</c:numCache>
            </c:numRef>
          </c:cat>
          <c:val>
            <c:numRef>
              <c:f>Grafiken!$P$4:$P$15</c:f>
              <c:numCache>
                <c:formatCode>#,##0.00\ "€"</c:formatCode>
                <c:ptCount val="12"/>
                <c:pt idx="0">
                  <c:v>984.80860000000166</c:v>
                </c:pt>
                <c:pt idx="1">
                  <c:v>263.07929999999988</c:v>
                </c:pt>
                <c:pt idx="2">
                  <c:v>201.61080000000038</c:v>
                </c:pt>
                <c:pt idx="3">
                  <c:v>40.919600000000173</c:v>
                </c:pt>
                <c:pt idx="4">
                  <c:v>0</c:v>
                </c:pt>
                <c:pt idx="5">
                  <c:v>512.21499999999924</c:v>
                </c:pt>
                <c:pt idx="6">
                  <c:v>846.50799999999981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644160"/>
        <c:axId val="189654144"/>
      </c:barChart>
      <c:dateAx>
        <c:axId val="189644160"/>
        <c:scaling>
          <c:orientation val="minMax"/>
        </c:scaling>
        <c:axPos val="b"/>
        <c:numFmt formatCode="mmm\ yy" sourceLinked="1"/>
        <c:tickLblPos val="nextTo"/>
        <c:crossAx val="189654144"/>
        <c:crosses val="autoZero"/>
        <c:auto val="1"/>
        <c:lblOffset val="100"/>
      </c:dateAx>
      <c:valAx>
        <c:axId val="189654144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64416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0.16570614719671894"/>
          <c:h val="7.2075836437240429E-2"/>
        </c:manualLayout>
      </c:layout>
    </c:legend>
    <c:plotVisOnly val="1"/>
  </c:chart>
  <c:printSettings>
    <c:headerFooter/>
    <c:pageMargins b="0.39370078740157488" l="0.31496062992129198" r="0.31496062992129198" t="0.39370078740157488" header="0" footer="0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Grafiken!$O$41:$O$52</c:f>
              <c:numCache>
                <c:formatCode>mmm\ 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Grafiken!$P$41:$P$52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952768"/>
        <c:axId val="189954304"/>
      </c:barChart>
      <c:dateAx>
        <c:axId val="189952768"/>
        <c:scaling>
          <c:orientation val="minMax"/>
        </c:scaling>
        <c:axPos val="b"/>
        <c:numFmt formatCode="mmm\ yy" sourceLinked="1"/>
        <c:tickLblPos val="nextTo"/>
        <c:crossAx val="189954304"/>
        <c:crosses val="autoZero"/>
        <c:auto val="1"/>
        <c:lblOffset val="100"/>
      </c:dateAx>
      <c:valAx>
        <c:axId val="189954304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952768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15" r="0.31496062992129215" t="0.39370078740157488" header="0" footer="0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Grafiken!$O$78:$O$89</c:f>
              <c:numCache>
                <c:formatCode>mmm\ 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Grafiken!$P$78:$P$89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970304"/>
        <c:axId val="189971840"/>
      </c:barChart>
      <c:dateAx>
        <c:axId val="189970304"/>
        <c:scaling>
          <c:orientation val="minMax"/>
        </c:scaling>
        <c:axPos val="b"/>
        <c:numFmt formatCode="mmm\ yy" sourceLinked="1"/>
        <c:tickLblPos val="nextTo"/>
        <c:crossAx val="189971840"/>
        <c:crosses val="autoZero"/>
        <c:auto val="1"/>
        <c:lblOffset val="100"/>
      </c:dateAx>
      <c:valAx>
        <c:axId val="189971840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97030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37" r="0.31496062992129237" t="0.39370078740157488" header="0" footer="0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Grafiken!$O$115:$O$126</c:f>
              <c:numCache>
                <c:formatCode>mmm\ 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Grafiken!$P$115:$P$126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2424960"/>
        <c:axId val="192434944"/>
      </c:barChart>
      <c:dateAx>
        <c:axId val="192424960"/>
        <c:scaling>
          <c:orientation val="minMax"/>
        </c:scaling>
        <c:axPos val="b"/>
        <c:numFmt formatCode="mmm\ yy" sourceLinked="1"/>
        <c:tickLblPos val="nextTo"/>
        <c:crossAx val="192434944"/>
        <c:crosses val="autoZero"/>
        <c:auto val="1"/>
        <c:lblOffset val="100"/>
      </c:dateAx>
      <c:valAx>
        <c:axId val="192434944"/>
        <c:scaling>
          <c:orientation val="minMax"/>
        </c:scaling>
        <c:axPos val="l"/>
        <c:majorGridlines/>
        <c:numFmt formatCode="#,##0.00\ &quot;€&quot;" sourceLinked="1"/>
        <c:tickLblPos val="nextTo"/>
        <c:crossAx val="19242496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37" r="0.31496062992129237" t="0.39370078740157488" header="0" footer="0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Grafiken!$O$152:$O$163</c:f>
              <c:numCache>
                <c:formatCode>mmm\ 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Grafiken!$P$152:$P$163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2463232"/>
        <c:axId val="192464768"/>
      </c:barChart>
      <c:dateAx>
        <c:axId val="192463232"/>
        <c:scaling>
          <c:orientation val="minMax"/>
        </c:scaling>
        <c:axPos val="b"/>
        <c:numFmt formatCode="mmm\ yy" sourceLinked="1"/>
        <c:tickLblPos val="nextTo"/>
        <c:crossAx val="192464768"/>
        <c:crosses val="autoZero"/>
        <c:auto val="1"/>
        <c:lblOffset val="100"/>
      </c:dateAx>
      <c:valAx>
        <c:axId val="192464768"/>
        <c:scaling>
          <c:orientation val="minMax"/>
        </c:scaling>
        <c:axPos val="l"/>
        <c:majorGridlines/>
        <c:numFmt formatCode="#,##0.00\ &quot;€&quot;" sourceLinked="1"/>
        <c:tickLblPos val="nextTo"/>
        <c:crossAx val="19246323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37" r="0.31496062992129237" t="0.39370078740157488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161925</xdr:rowOff>
    </xdr:from>
    <xdr:to>
      <xdr:col>10</xdr:col>
      <xdr:colOff>647700</xdr:colOff>
      <xdr:row>33</xdr:row>
      <xdr:rowOff>114300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38</xdr:row>
      <xdr:rowOff>161925</xdr:rowOff>
    </xdr:from>
    <xdr:to>
      <xdr:col>10</xdr:col>
      <xdr:colOff>647700</xdr:colOff>
      <xdr:row>70</xdr:row>
      <xdr:rowOff>114300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75</xdr:row>
      <xdr:rowOff>161925</xdr:rowOff>
    </xdr:from>
    <xdr:to>
      <xdr:col>10</xdr:col>
      <xdr:colOff>647700</xdr:colOff>
      <xdr:row>107</xdr:row>
      <xdr:rowOff>114300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112</xdr:row>
      <xdr:rowOff>161925</xdr:rowOff>
    </xdr:from>
    <xdr:to>
      <xdr:col>10</xdr:col>
      <xdr:colOff>647700</xdr:colOff>
      <xdr:row>144</xdr:row>
      <xdr:rowOff>114300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149</xdr:row>
      <xdr:rowOff>161925</xdr:rowOff>
    </xdr:from>
    <xdr:to>
      <xdr:col>10</xdr:col>
      <xdr:colOff>647700</xdr:colOff>
      <xdr:row>181</xdr:row>
      <xdr:rowOff>114300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burak.aydina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6"/>
  <dimension ref="D1:I18"/>
  <sheetViews>
    <sheetView tabSelected="1" workbookViewId="0">
      <selection activeCell="I18" sqref="I18"/>
    </sheetView>
  </sheetViews>
  <sheetFormatPr baseColWidth="10" defaultRowHeight="15"/>
  <sheetData>
    <row r="1" spans="4:5">
      <c r="E1" t="s">
        <v>178</v>
      </c>
    </row>
    <row r="2" spans="4:5">
      <c r="D2" t="s">
        <v>177</v>
      </c>
    </row>
    <row r="3" spans="4:5">
      <c r="D3" t="s">
        <v>179</v>
      </c>
    </row>
    <row r="4" spans="4:5">
      <c r="D4" t="s">
        <v>181</v>
      </c>
    </row>
    <row r="5" spans="4:5">
      <c r="D5" t="s">
        <v>180</v>
      </c>
    </row>
    <row r="10" spans="4:5">
      <c r="D10" t="s">
        <v>685</v>
      </c>
    </row>
    <row r="11" spans="4:5">
      <c r="D11" t="s">
        <v>686</v>
      </c>
    </row>
    <row r="12" spans="4:5">
      <c r="D12" t="s">
        <v>687</v>
      </c>
    </row>
    <row r="13" spans="4:5">
      <c r="D13" t="s">
        <v>688</v>
      </c>
    </row>
    <row r="18" spans="9:9">
      <c r="I18">
        <v>1111111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8"/>
  <dimension ref="B1:P185"/>
  <sheetViews>
    <sheetView workbookViewId="0"/>
  </sheetViews>
  <sheetFormatPr baseColWidth="10" defaultRowHeight="15"/>
  <cols>
    <col min="1" max="1" width="2.7109375" customWidth="1"/>
    <col min="2" max="2" width="15.42578125" customWidth="1"/>
    <col min="3" max="3" width="13.7109375" customWidth="1"/>
    <col min="4" max="4" width="6" customWidth="1"/>
    <col min="8" max="8" width="15.7109375" customWidth="1"/>
    <col min="9" max="9" width="21.28515625" customWidth="1"/>
    <col min="12" max="12" width="5.7109375" customWidth="1"/>
    <col min="13" max="13" width="9.28515625" customWidth="1"/>
    <col min="14" max="14" width="8.140625" customWidth="1"/>
    <col min="16" max="16" width="13.140625" customWidth="1"/>
    <col min="19" max="19" width="13.5703125" bestFit="1" customWidth="1"/>
    <col min="20" max="20" width="14.85546875" customWidth="1"/>
  </cols>
  <sheetData>
    <row r="1" spans="2:16" ht="21.75" thickBot="1">
      <c r="B1" s="318" t="s">
        <v>330</v>
      </c>
      <c r="C1" s="319"/>
      <c r="D1" s="319"/>
      <c r="E1" s="319"/>
      <c r="F1" s="319"/>
      <c r="G1" s="319"/>
      <c r="H1" s="319"/>
      <c r="I1" s="319"/>
      <c r="J1" s="67" t="s">
        <v>114</v>
      </c>
      <c r="K1" s="194">
        <v>2014</v>
      </c>
    </row>
    <row r="2" spans="2:16" ht="15.75" thickTop="1"/>
    <row r="4" spans="2:16">
      <c r="O4" s="65">
        <v>41640</v>
      </c>
      <c r="P4" s="140">
        <f>Gewinn!Y2</f>
        <v>984.80860000000166</v>
      </c>
    </row>
    <row r="5" spans="2:16">
      <c r="O5" s="65">
        <v>41671</v>
      </c>
      <c r="P5" s="140">
        <f>Gewinn!Y3</f>
        <v>263.07929999999988</v>
      </c>
    </row>
    <row r="6" spans="2:16">
      <c r="O6" s="65">
        <v>41699</v>
      </c>
      <c r="P6" s="140">
        <f>Gewinn!Y4</f>
        <v>201.61080000000038</v>
      </c>
    </row>
    <row r="7" spans="2:16">
      <c r="O7" s="65">
        <v>41730</v>
      </c>
      <c r="P7" s="140">
        <f>Gewinn!Y5</f>
        <v>40.919600000000173</v>
      </c>
    </row>
    <row r="8" spans="2:16">
      <c r="O8" s="65">
        <v>41760</v>
      </c>
      <c r="P8" s="140">
        <f>Gewinn!Y6</f>
        <v>0</v>
      </c>
    </row>
    <row r="9" spans="2:16">
      <c r="O9" s="65">
        <v>41791</v>
      </c>
      <c r="P9" s="140">
        <f>Gewinn!Y7</f>
        <v>512.21499999999924</v>
      </c>
    </row>
    <row r="10" spans="2:16">
      <c r="O10" s="65">
        <v>41821</v>
      </c>
      <c r="P10" s="140">
        <f>Gewinn!Y8</f>
        <v>846.50799999999981</v>
      </c>
    </row>
    <row r="11" spans="2:16">
      <c r="O11" s="65">
        <v>41852</v>
      </c>
      <c r="P11" s="140">
        <f>Gewinn!Y9</f>
        <v>0</v>
      </c>
    </row>
    <row r="12" spans="2:16">
      <c r="O12" s="65">
        <v>41883</v>
      </c>
      <c r="P12" s="140">
        <f>Gewinn!Y10</f>
        <v>0</v>
      </c>
    </row>
    <row r="13" spans="2:16">
      <c r="O13" s="65">
        <v>41913</v>
      </c>
      <c r="P13" s="140">
        <f>Gewinn!Y11</f>
        <v>0</v>
      </c>
    </row>
    <row r="14" spans="2:16">
      <c r="O14" s="65">
        <v>41944</v>
      </c>
      <c r="P14" s="140">
        <f>Gewinn!Y12</f>
        <v>0</v>
      </c>
    </row>
    <row r="15" spans="2:16" ht="15.75" thickBot="1">
      <c r="O15" s="65">
        <v>41974</v>
      </c>
      <c r="P15" s="140">
        <f>Gewinn!Y13</f>
        <v>0</v>
      </c>
    </row>
    <row r="16" spans="2:16">
      <c r="P16" s="141">
        <f>SUM(P4:P15)</f>
        <v>2849.1413000000011</v>
      </c>
    </row>
    <row r="34" spans="2:16" ht="15" customHeight="1"/>
    <row r="35" spans="2:16" ht="15" customHeight="1">
      <c r="C35" s="68">
        <f>K1</f>
        <v>2014</v>
      </c>
      <c r="D35" s="316" t="s">
        <v>115</v>
      </c>
      <c r="E35" s="316"/>
      <c r="F35" s="317">
        <f>P16</f>
        <v>2849.1413000000011</v>
      </c>
      <c r="G35" s="317"/>
    </row>
    <row r="36" spans="2:16" s="33" customFormat="1" ht="11.25" customHeight="1" thickBot="1"/>
    <row r="37" spans="2:16" ht="9.75" customHeight="1" thickTop="1"/>
    <row r="38" spans="2:16" ht="21.75" thickBot="1">
      <c r="B38" s="318" t="s">
        <v>330</v>
      </c>
      <c r="C38" s="319"/>
      <c r="D38" s="319"/>
      <c r="E38" s="319"/>
      <c r="F38" s="319"/>
      <c r="G38" s="319"/>
      <c r="H38" s="319"/>
      <c r="I38" s="319"/>
      <c r="J38" s="67" t="s">
        <v>114</v>
      </c>
      <c r="K38" s="194">
        <v>2015</v>
      </c>
    </row>
    <row r="39" spans="2:16" ht="15.75" thickTop="1"/>
    <row r="41" spans="2:16">
      <c r="O41" s="65">
        <v>42005</v>
      </c>
      <c r="P41" s="140">
        <f>Gewinn!AC2</f>
        <v>0</v>
      </c>
    </row>
    <row r="42" spans="2:16">
      <c r="O42" s="65">
        <v>42036</v>
      </c>
      <c r="P42" s="140">
        <f>Gewinn!AC3</f>
        <v>0</v>
      </c>
    </row>
    <row r="43" spans="2:16">
      <c r="O43" s="65">
        <v>42064</v>
      </c>
      <c r="P43" s="140">
        <f>Gewinn!AC4</f>
        <v>0</v>
      </c>
    </row>
    <row r="44" spans="2:16">
      <c r="O44" s="65">
        <v>42095</v>
      </c>
      <c r="P44" s="140">
        <f>Gewinn!AC5</f>
        <v>0</v>
      </c>
    </row>
    <row r="45" spans="2:16">
      <c r="O45" s="65">
        <v>42125</v>
      </c>
      <c r="P45" s="140">
        <f>Gewinn!AC6</f>
        <v>0</v>
      </c>
    </row>
    <row r="46" spans="2:16">
      <c r="O46" s="65">
        <v>42156</v>
      </c>
      <c r="P46" s="140">
        <f>Gewinn!AC7</f>
        <v>0</v>
      </c>
    </row>
    <row r="47" spans="2:16">
      <c r="O47" s="65">
        <v>42186</v>
      </c>
      <c r="P47" s="140">
        <f>Gewinn!AC8</f>
        <v>0</v>
      </c>
    </row>
    <row r="48" spans="2:16">
      <c r="O48" s="65">
        <v>42217</v>
      </c>
      <c r="P48" s="140">
        <f>Gewinn!AC9</f>
        <v>0</v>
      </c>
    </row>
    <row r="49" spans="15:16">
      <c r="O49" s="65">
        <v>42248</v>
      </c>
      <c r="P49" s="140">
        <f>Gewinn!AC10</f>
        <v>0</v>
      </c>
    </row>
    <row r="50" spans="15:16">
      <c r="O50" s="65">
        <v>42278</v>
      </c>
      <c r="P50" s="140">
        <f>Gewinn!AC11</f>
        <v>0</v>
      </c>
    </row>
    <row r="51" spans="15:16">
      <c r="O51" s="65">
        <v>42309</v>
      </c>
      <c r="P51" s="140">
        <f>Gewinn!AC12</f>
        <v>0</v>
      </c>
    </row>
    <row r="52" spans="15:16" ht="15.75" thickBot="1">
      <c r="O52" s="65">
        <v>42339</v>
      </c>
      <c r="P52" s="140">
        <f>Gewinn!AC13</f>
        <v>0</v>
      </c>
    </row>
    <row r="53" spans="15:16">
      <c r="P53" s="141">
        <f>SUM(P41:P52)</f>
        <v>0</v>
      </c>
    </row>
    <row r="71" spans="2:16" ht="15" customHeight="1"/>
    <row r="72" spans="2:16" ht="15" customHeight="1">
      <c r="C72" s="68">
        <f>K38</f>
        <v>2015</v>
      </c>
      <c r="D72" s="316" t="s">
        <v>115</v>
      </c>
      <c r="E72" s="316"/>
      <c r="F72" s="317">
        <f>P53</f>
        <v>0</v>
      </c>
      <c r="G72" s="317"/>
    </row>
    <row r="73" spans="2:16" s="33" customFormat="1" ht="11.25" customHeight="1" thickBot="1"/>
    <row r="74" spans="2:16" ht="9.75" customHeight="1" thickTop="1"/>
    <row r="75" spans="2:16" ht="21.75" thickBot="1">
      <c r="B75" s="318" t="s">
        <v>330</v>
      </c>
      <c r="C75" s="319"/>
      <c r="D75" s="319"/>
      <c r="E75" s="319"/>
      <c r="F75" s="319"/>
      <c r="G75" s="319"/>
      <c r="H75" s="319"/>
      <c r="I75" s="319"/>
      <c r="J75" s="67" t="s">
        <v>114</v>
      </c>
      <c r="K75" s="194">
        <v>2016</v>
      </c>
    </row>
    <row r="76" spans="2:16" ht="15.75" thickTop="1"/>
    <row r="78" spans="2:16">
      <c r="O78" s="65">
        <v>42370</v>
      </c>
      <c r="P78" s="140">
        <f>Gewinn!AG2</f>
        <v>0</v>
      </c>
    </row>
    <row r="79" spans="2:16">
      <c r="O79" s="65">
        <v>42401</v>
      </c>
      <c r="P79" s="140">
        <f>Gewinn!AG3</f>
        <v>0</v>
      </c>
    </row>
    <row r="80" spans="2:16">
      <c r="O80" s="65">
        <v>42430</v>
      </c>
      <c r="P80" s="140">
        <f>Gewinn!AG4</f>
        <v>0</v>
      </c>
    </row>
    <row r="81" spans="15:16">
      <c r="O81" s="65">
        <v>42461</v>
      </c>
      <c r="P81" s="140">
        <f>Gewinn!AG5</f>
        <v>0</v>
      </c>
    </row>
    <row r="82" spans="15:16">
      <c r="O82" s="65">
        <v>42491</v>
      </c>
      <c r="P82" s="140">
        <v>0</v>
      </c>
    </row>
    <row r="83" spans="15:16">
      <c r="O83" s="65">
        <v>42522</v>
      </c>
      <c r="P83" s="140">
        <f>Gewinn!AG7</f>
        <v>0</v>
      </c>
    </row>
    <row r="84" spans="15:16">
      <c r="O84" s="65">
        <v>42552</v>
      </c>
      <c r="P84" s="140">
        <f>Gewinn!AG8</f>
        <v>0</v>
      </c>
    </row>
    <row r="85" spans="15:16">
      <c r="O85" s="65">
        <v>42583</v>
      </c>
      <c r="P85" s="140">
        <f>Gewinn!AG9</f>
        <v>0</v>
      </c>
    </row>
    <row r="86" spans="15:16">
      <c r="O86" s="65">
        <v>42614</v>
      </c>
      <c r="P86" s="140">
        <f>Gewinn!AG10</f>
        <v>0</v>
      </c>
    </row>
    <row r="87" spans="15:16">
      <c r="O87" s="65">
        <v>42644</v>
      </c>
      <c r="P87" s="140">
        <f>Gewinn!AG11</f>
        <v>0</v>
      </c>
    </row>
    <row r="88" spans="15:16">
      <c r="O88" s="65">
        <v>42675</v>
      </c>
      <c r="P88" s="140">
        <f>Gewinn!AG12</f>
        <v>0</v>
      </c>
    </row>
    <row r="89" spans="15:16" ht="15.75" thickBot="1">
      <c r="O89" s="65">
        <v>42705</v>
      </c>
      <c r="P89" s="140">
        <f>Gewinn!AG13</f>
        <v>0</v>
      </c>
    </row>
    <row r="90" spans="15:16">
      <c r="P90" s="141">
        <f>SUM(P78:P89)</f>
        <v>0</v>
      </c>
    </row>
    <row r="108" spans="2:11" ht="15" customHeight="1"/>
    <row r="109" spans="2:11" ht="15" customHeight="1">
      <c r="C109" s="68">
        <f>K75</f>
        <v>2016</v>
      </c>
      <c r="D109" s="316" t="s">
        <v>115</v>
      </c>
      <c r="E109" s="316"/>
      <c r="F109" s="317">
        <f>P90</f>
        <v>0</v>
      </c>
      <c r="G109" s="317"/>
    </row>
    <row r="110" spans="2:11" s="33" customFormat="1" ht="11.25" customHeight="1" thickBot="1"/>
    <row r="111" spans="2:11" ht="9.75" customHeight="1" thickTop="1"/>
    <row r="112" spans="2:11" ht="21.75" thickBot="1">
      <c r="B112" s="318" t="s">
        <v>330</v>
      </c>
      <c r="C112" s="319"/>
      <c r="D112" s="319"/>
      <c r="E112" s="319"/>
      <c r="F112" s="319"/>
      <c r="G112" s="319"/>
      <c r="H112" s="319"/>
      <c r="I112" s="319"/>
      <c r="J112" s="67" t="s">
        <v>114</v>
      </c>
      <c r="K112" s="194">
        <v>2017</v>
      </c>
    </row>
    <row r="113" spans="15:16" ht="15.75" thickTop="1"/>
    <row r="115" spans="15:16">
      <c r="O115" s="65">
        <v>42736</v>
      </c>
      <c r="P115" s="140">
        <f>Gewinn!AK2</f>
        <v>0</v>
      </c>
    </row>
    <row r="116" spans="15:16">
      <c r="O116" s="65">
        <v>42767</v>
      </c>
      <c r="P116" s="140">
        <f>Gewinn!AK3</f>
        <v>0</v>
      </c>
    </row>
    <row r="117" spans="15:16">
      <c r="O117" s="65">
        <v>42795</v>
      </c>
      <c r="P117" s="140">
        <f>Gewinn!AK4</f>
        <v>0</v>
      </c>
    </row>
    <row r="118" spans="15:16">
      <c r="O118" s="65">
        <v>42826</v>
      </c>
      <c r="P118" s="140">
        <f>Gewinn!AK5</f>
        <v>0</v>
      </c>
    </row>
    <row r="119" spans="15:16">
      <c r="O119" s="65">
        <v>42856</v>
      </c>
      <c r="P119" s="140">
        <f>Gewinn!AK6</f>
        <v>0</v>
      </c>
    </row>
    <row r="120" spans="15:16">
      <c r="O120" s="65">
        <v>42887</v>
      </c>
      <c r="P120" s="140">
        <f>Gewinn!AK7</f>
        <v>0</v>
      </c>
    </row>
    <row r="121" spans="15:16">
      <c r="O121" s="65">
        <v>42917</v>
      </c>
      <c r="P121" s="140">
        <f>Gewinn!AK8</f>
        <v>0</v>
      </c>
    </row>
    <row r="122" spans="15:16">
      <c r="O122" s="65">
        <v>42948</v>
      </c>
      <c r="P122" s="140">
        <f>Gewinn!AK9</f>
        <v>0</v>
      </c>
    </row>
    <row r="123" spans="15:16">
      <c r="O123" s="65">
        <v>42979</v>
      </c>
      <c r="P123" s="140">
        <f>Gewinn!AK10</f>
        <v>0</v>
      </c>
    </row>
    <row r="124" spans="15:16">
      <c r="O124" s="65">
        <v>43009</v>
      </c>
      <c r="P124" s="140">
        <f>Gewinn!AK11</f>
        <v>0</v>
      </c>
    </row>
    <row r="125" spans="15:16">
      <c r="O125" s="65">
        <v>43040</v>
      </c>
      <c r="P125" s="140">
        <f>Gewinn!AK12</f>
        <v>0</v>
      </c>
    </row>
    <row r="126" spans="15:16" ht="15.75" thickBot="1">
      <c r="O126" s="65">
        <v>43070</v>
      </c>
      <c r="P126" s="140">
        <f>Gewinn!AK13</f>
        <v>0</v>
      </c>
    </row>
    <row r="127" spans="15:16">
      <c r="P127" s="141">
        <f>SUM(P115:P126)</f>
        <v>0</v>
      </c>
    </row>
    <row r="145" spans="2:16" ht="15" customHeight="1"/>
    <row r="146" spans="2:16" ht="15" customHeight="1">
      <c r="C146" s="68">
        <f>K112</f>
        <v>2017</v>
      </c>
      <c r="D146" s="316" t="s">
        <v>115</v>
      </c>
      <c r="E146" s="316"/>
      <c r="F146" s="317">
        <f>P127</f>
        <v>0</v>
      </c>
      <c r="G146" s="317"/>
    </row>
    <row r="147" spans="2:16" s="33" customFormat="1" ht="11.25" customHeight="1" thickBot="1"/>
    <row r="148" spans="2:16" ht="9.75" customHeight="1" thickTop="1"/>
    <row r="149" spans="2:16" ht="21.75" thickBot="1">
      <c r="B149" s="318" t="s">
        <v>330</v>
      </c>
      <c r="C149" s="319"/>
      <c r="D149" s="319"/>
      <c r="E149" s="319"/>
      <c r="F149" s="319"/>
      <c r="G149" s="319"/>
      <c r="H149" s="319"/>
      <c r="I149" s="319"/>
      <c r="J149" s="67" t="s">
        <v>114</v>
      </c>
      <c r="K149" s="194">
        <v>2018</v>
      </c>
    </row>
    <row r="150" spans="2:16" ht="15.75" thickTop="1"/>
    <row r="152" spans="2:16">
      <c r="O152" s="65">
        <v>43101</v>
      </c>
      <c r="P152" s="140">
        <f>Gewinn!AO2</f>
        <v>0</v>
      </c>
    </row>
    <row r="153" spans="2:16">
      <c r="O153" s="65">
        <v>43132</v>
      </c>
      <c r="P153" s="140">
        <f>Gewinn!AO3</f>
        <v>0</v>
      </c>
    </row>
    <row r="154" spans="2:16">
      <c r="O154" s="65">
        <v>43160</v>
      </c>
      <c r="P154" s="140">
        <f>Gewinn!AO4</f>
        <v>0</v>
      </c>
    </row>
    <row r="155" spans="2:16">
      <c r="O155" s="65">
        <v>43191</v>
      </c>
      <c r="P155" s="140">
        <f>Gewinn!AO5</f>
        <v>0</v>
      </c>
    </row>
    <row r="156" spans="2:16">
      <c r="O156" s="65">
        <v>43221</v>
      </c>
      <c r="P156" s="140">
        <f>Gewinn!AO6</f>
        <v>0</v>
      </c>
    </row>
    <row r="157" spans="2:16">
      <c r="O157" s="65">
        <v>43252</v>
      </c>
      <c r="P157" s="140">
        <f>Gewinn!AO7</f>
        <v>0</v>
      </c>
    </row>
    <row r="158" spans="2:16">
      <c r="O158" s="65">
        <v>43282</v>
      </c>
      <c r="P158" s="140">
        <f>Gewinn!AO8</f>
        <v>0</v>
      </c>
    </row>
    <row r="159" spans="2:16">
      <c r="O159" s="65">
        <v>43313</v>
      </c>
      <c r="P159" s="140">
        <f>Gewinn!AO9</f>
        <v>0</v>
      </c>
    </row>
    <row r="160" spans="2:16">
      <c r="O160" s="65">
        <v>43344</v>
      </c>
      <c r="P160" s="140">
        <f>Gewinn!AO10</f>
        <v>0</v>
      </c>
    </row>
    <row r="161" spans="15:16">
      <c r="O161" s="65">
        <v>43374</v>
      </c>
      <c r="P161" s="140">
        <f>Gewinn!AO11</f>
        <v>0</v>
      </c>
    </row>
    <row r="162" spans="15:16">
      <c r="O162" s="65">
        <v>43405</v>
      </c>
      <c r="P162" s="140">
        <f>Gewinn!AO12</f>
        <v>0</v>
      </c>
    </row>
    <row r="163" spans="15:16" ht="15.75" thickBot="1">
      <c r="O163" s="65">
        <v>43435</v>
      </c>
      <c r="P163" s="140">
        <f>Gewinn!AO13</f>
        <v>0</v>
      </c>
    </row>
    <row r="164" spans="15:16">
      <c r="P164" s="141">
        <f>SUM(P152:P163)</f>
        <v>0</v>
      </c>
    </row>
    <row r="182" spans="3:7" ht="15" customHeight="1"/>
    <row r="183" spans="3:7" ht="15" customHeight="1">
      <c r="C183" s="68">
        <f>K149</f>
        <v>2018</v>
      </c>
      <c r="D183" s="316" t="s">
        <v>115</v>
      </c>
      <c r="E183" s="316"/>
      <c r="F183" s="317">
        <f>P164</f>
        <v>0</v>
      </c>
      <c r="G183" s="317"/>
    </row>
    <row r="184" spans="3:7" s="33" customFormat="1" ht="11.25" customHeight="1" thickBot="1"/>
    <row r="185" spans="3:7" ht="9.75" customHeight="1" thickTop="1"/>
  </sheetData>
  <mergeCells count="15">
    <mergeCell ref="D183:E183"/>
    <mergeCell ref="F183:G183"/>
    <mergeCell ref="B1:I1"/>
    <mergeCell ref="B38:I38"/>
    <mergeCell ref="D72:E72"/>
    <mergeCell ref="F72:G72"/>
    <mergeCell ref="B75:I75"/>
    <mergeCell ref="D109:E109"/>
    <mergeCell ref="F109:G109"/>
    <mergeCell ref="B112:I112"/>
    <mergeCell ref="D146:E146"/>
    <mergeCell ref="F146:G146"/>
    <mergeCell ref="B149:I149"/>
    <mergeCell ref="F35:G35"/>
    <mergeCell ref="D35:E35"/>
  </mergeCells>
  <pageMargins left="0.31496062992125984" right="0.31496062992125984" top="0.39370078740157483" bottom="0.31496062992125984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 filterMode="1"/>
  <dimension ref="A1:AO194"/>
  <sheetViews>
    <sheetView zoomScaleNormal="100" workbookViewId="0">
      <selection activeCell="J188" sqref="J188"/>
    </sheetView>
  </sheetViews>
  <sheetFormatPr baseColWidth="10" defaultRowHeight="15"/>
  <cols>
    <col min="2" max="2" width="7.5703125" style="74" customWidth="1"/>
    <col min="3" max="3" width="4.5703125" style="57" customWidth="1"/>
    <col min="4" max="4" width="11.42578125" style="47"/>
    <col min="5" max="5" width="18.85546875" customWidth="1"/>
    <col min="6" max="9" width="11.5703125" bestFit="1" customWidth="1"/>
    <col min="10" max="10" width="18.42578125" style="214" bestFit="1" customWidth="1"/>
    <col min="11" max="11" width="14.85546875" customWidth="1"/>
    <col min="16" max="16" width="17" bestFit="1" customWidth="1"/>
    <col min="17" max="17" width="3.140625" style="203" customWidth="1"/>
    <col min="18" max="18" width="0.85546875" customWidth="1"/>
    <col min="19" max="19" width="1.42578125" customWidth="1"/>
    <col min="20" max="20" width="1.85546875" customWidth="1"/>
    <col min="21" max="21" width="1.7109375" customWidth="1"/>
    <col min="22" max="22" width="1.42578125" customWidth="1"/>
    <col min="23" max="23" width="8.140625" customWidth="1"/>
    <col min="24" max="24" width="15.28515625" bestFit="1" customWidth="1"/>
    <col min="27" max="27" width="8.85546875" bestFit="1" customWidth="1"/>
    <col min="28" max="28" width="15.28515625" bestFit="1" customWidth="1"/>
    <col min="32" max="32" width="15.28515625" bestFit="1" customWidth="1"/>
    <col min="36" max="36" width="15.28515625" bestFit="1" customWidth="1"/>
    <col min="40" max="40" width="15.28515625" bestFit="1" customWidth="1"/>
  </cols>
  <sheetData>
    <row r="1" spans="1:41" ht="15.75" customHeight="1">
      <c r="A1" s="45"/>
      <c r="E1" s="63" t="s">
        <v>186</v>
      </c>
      <c r="G1" s="46"/>
      <c r="I1" s="50"/>
      <c r="J1" s="209"/>
      <c r="K1" s="49"/>
      <c r="S1" s="64"/>
      <c r="T1" s="57"/>
      <c r="W1" s="47" t="s">
        <v>331</v>
      </c>
      <c r="X1" s="47">
        <v>2014</v>
      </c>
      <c r="Y1" s="203"/>
      <c r="Z1" s="64"/>
      <c r="AA1" s="47" t="s">
        <v>331</v>
      </c>
      <c r="AB1" s="47">
        <v>2015</v>
      </c>
      <c r="AC1" s="203"/>
      <c r="AE1" s="47" t="s">
        <v>331</v>
      </c>
      <c r="AF1" s="47">
        <v>2016</v>
      </c>
      <c r="AG1" s="203"/>
      <c r="AI1" s="47" t="s">
        <v>331</v>
      </c>
      <c r="AJ1" s="47">
        <v>2017</v>
      </c>
      <c r="AK1" s="203"/>
      <c r="AM1" s="47" t="s">
        <v>331</v>
      </c>
      <c r="AN1" s="47">
        <v>2018</v>
      </c>
      <c r="AO1" s="203"/>
    </row>
    <row r="2" spans="1:41" ht="15.75" customHeight="1">
      <c r="A2" s="45"/>
      <c r="E2" s="63"/>
      <c r="G2" s="46"/>
      <c r="I2" s="136"/>
      <c r="J2" s="210"/>
      <c r="K2" s="61"/>
      <c r="S2" s="64"/>
      <c r="T2" s="57"/>
      <c r="X2" s="205">
        <v>41640</v>
      </c>
      <c r="Y2" s="203">
        <f>SUMIF(A:A,("&gt;="&amp;DATEVALUE("01.01.2014")),J:J)-SUMIF(A:A,("&gt;="&amp;DATEVALUE("01.02.2014")),J:J)</f>
        <v>984.80860000000166</v>
      </c>
      <c r="Z2" s="64"/>
      <c r="AB2" s="205">
        <v>42005</v>
      </c>
      <c r="AC2" s="203">
        <f>SUMIF(A:A,("&gt;="&amp;DATEVALUE("01.01.2015")),J:J)-SUMIF(A:A,("&gt;="&amp;DATEVALUE("01.02.2015")),J:J)</f>
        <v>0</v>
      </c>
      <c r="AF2" s="205">
        <v>42370</v>
      </c>
      <c r="AG2" s="207">
        <f>SUMIF(A:A,("&gt;="&amp;DATEVALUE("01.01.2016")),J:J)-SUMIF(A:A,("&gt;="&amp;DATEVALUE("01.02.2016")),J:J)</f>
        <v>0</v>
      </c>
      <c r="AJ2" s="205">
        <v>42736</v>
      </c>
      <c r="AK2" s="207">
        <f>SUMIF(A:A,("&gt;="&amp;DATEVALUE("01.01.2017")),J:J)-SUMIF(A:A,("&gt;="&amp;DATEVALUE("01.02.2017")),J:J)</f>
        <v>0</v>
      </c>
      <c r="AN2" s="205">
        <v>43101</v>
      </c>
      <c r="AO2" s="207">
        <f>SUMIF(A:A,("&gt;="&amp;DATEVALUE("01.01.2018")),J:J)-SUMIF(A:A,("&gt;="&amp;DATEVALUE("01.02.2018")),J:J)</f>
        <v>0</v>
      </c>
    </row>
    <row r="3" spans="1:41" ht="21">
      <c r="A3" s="45"/>
      <c r="E3" s="60"/>
      <c r="G3" s="46"/>
      <c r="I3" s="62" t="s">
        <v>84</v>
      </c>
      <c r="J3" s="211">
        <f>SUBTOTAL(9,J10:J59235)</f>
        <v>0</v>
      </c>
      <c r="K3" s="61"/>
      <c r="S3" s="64"/>
      <c r="T3" s="57"/>
      <c r="X3" s="205">
        <v>41671</v>
      </c>
      <c r="Y3" s="203">
        <f>SUMIF(A:A,("&gt;="&amp;DATEVALUE("01.01.2014")),J:J)-SUMIF(A:A,("&gt;="&amp;DATEVALUE("01.03.2014")),J:J)-SUM(Y2)</f>
        <v>263.07929999999988</v>
      </c>
      <c r="Z3" s="64"/>
      <c r="AB3" s="205">
        <v>42036</v>
      </c>
      <c r="AC3" s="203">
        <f>SUMIF(A:A,("&gt;="&amp;DATEVALUE("01.01.2015")),J:J)-SUMIF(A:A,("&gt;="&amp;DATEVALUE("01.03.2015")),J:J)-SUM(AC2)</f>
        <v>0</v>
      </c>
      <c r="AF3" s="205">
        <v>42401</v>
      </c>
      <c r="AG3" s="207">
        <f>SUMIF(A:A,("&gt;="&amp;DATEVALUE("01.01.2016")),J:J)-SUMIF(A:A,("&gt;="&amp;DATEVALUE("01.03.2016")),J:J)-SUM(AG2)</f>
        <v>0</v>
      </c>
      <c r="AJ3" s="205">
        <v>42767</v>
      </c>
      <c r="AK3" s="207">
        <f>SUMIF(A:A,("&gt;="&amp;DATEVALUE("01.01.2017")),J:J)-SUMIF(A:A,("&gt;="&amp;DATEVALUE("01.03.2017")),J:J)-SUM(AK2)</f>
        <v>0</v>
      </c>
      <c r="AN3" s="205">
        <v>43132</v>
      </c>
      <c r="AO3" s="207">
        <f>SUMIF(A:A,("&gt;="&amp;DATEVALUE("01.01.2018")),J:J)-SUMIF(A:A,("&gt;="&amp;DATEVALUE("01.03.2018")),J:J)-SUM(AO2)</f>
        <v>0</v>
      </c>
    </row>
    <row r="4" spans="1:41" ht="21">
      <c r="A4" s="45"/>
      <c r="E4" s="60"/>
      <c r="G4" s="46"/>
      <c r="I4" s="136"/>
      <c r="J4" s="210"/>
      <c r="K4" s="61"/>
      <c r="S4" s="64"/>
      <c r="T4" s="57"/>
      <c r="X4" s="205">
        <v>41699</v>
      </c>
      <c r="Y4" s="203">
        <f>SUMIF(A:A,("&gt;="&amp;DATEVALUE("01.01.2014")),J:J)-SUMIF(A:A,("&gt;="&amp;DATEVALUE("01.04.2014")),J:J)-SUM(Y2:Y3)</f>
        <v>201.61080000000038</v>
      </c>
      <c r="Z4" s="64"/>
      <c r="AB4" s="205">
        <v>42064</v>
      </c>
      <c r="AC4" s="203">
        <f>SUMIF(A:A,("&gt;="&amp;DATEVALUE("01.01.2015")),J:J)-SUMIF(A:A,("&gt;="&amp;DATEVALUE("01.04.2015")),J:J)-SUM(AC2:AC3)</f>
        <v>0</v>
      </c>
      <c r="AF4" s="205">
        <v>42430</v>
      </c>
      <c r="AG4" s="207">
        <f>SUMIF(A:A,("&gt;="&amp;DATEVALUE("01.01.2016")),J:J)-SUMIF(A:A,("&gt;="&amp;DATEVALUE("01.04.2016")),J:J)-SUM(AG2:AG3)</f>
        <v>0</v>
      </c>
      <c r="AJ4" s="205">
        <v>42795</v>
      </c>
      <c r="AK4" s="207">
        <f>SUMIF(A:A,("&gt;="&amp;DATEVALUE("01.01.2017")),J:J)-SUMIF(A:A,("&gt;="&amp;DATEVALUE("01.04.2017")),J:J)-SUM(AK2:AK3)</f>
        <v>0</v>
      </c>
      <c r="AN4" s="205">
        <v>43160</v>
      </c>
      <c r="AO4" s="207">
        <f>SUMIF(A:A,("&gt;="&amp;DATEVALUE("01.01.2018")),J:J)-SUMIF(A:A,("&gt;="&amp;DATEVALUE("01.04.2018")),J:J)-SUM(AO2:AO3)</f>
        <v>0</v>
      </c>
    </row>
    <row r="5" spans="1:41" ht="21">
      <c r="A5" s="74"/>
      <c r="E5" s="60"/>
      <c r="G5" s="46"/>
      <c r="I5" s="136"/>
      <c r="J5" s="210"/>
      <c r="K5" s="61"/>
      <c r="L5" s="216"/>
      <c r="N5" s="208" t="s">
        <v>390</v>
      </c>
      <c r="O5" s="208"/>
      <c r="P5" s="208"/>
      <c r="S5" s="64"/>
      <c r="T5" s="57"/>
      <c r="X5" s="205">
        <v>41730</v>
      </c>
      <c r="Y5" s="203">
        <f>SUMIF(A:A,("&gt;="&amp;DATEVALUE("01.01.2014")),J:J)-SUMIF(A:A,("&gt;="&amp;DATEVALUE("01.05.2014")),J:J)-SUM(Y2:Y4)</f>
        <v>40.919600000000173</v>
      </c>
      <c r="Z5" s="64"/>
      <c r="AB5" s="205">
        <v>42095</v>
      </c>
      <c r="AC5" s="203">
        <f>SUMIF(A:A,("&gt;="&amp;DATEVALUE("01.01.2015")),J:J)-SUMIF(A:A,("&gt;="&amp;DATEVALUE("01.05.2015")),J:J)-SUM(AC2:AC4)</f>
        <v>0</v>
      </c>
      <c r="AF5" s="205">
        <v>42461</v>
      </c>
      <c r="AG5" s="207">
        <f>SUMIF(A:A,("&gt;="&amp;DATEVALUE("01.01.2016")),J:J)-SUMIF(A:A,("&gt;="&amp;DATEVALUE("01.05.2016")),J:J)-SUM(AG2:AG4)</f>
        <v>0</v>
      </c>
      <c r="AJ5" s="205">
        <v>42826</v>
      </c>
      <c r="AK5" s="207">
        <f>SUMIF(A:A,("&gt;="&amp;DATEVALUE("01.01.2017")),J:J)-SUMIF(A:A,("&gt;="&amp;DATEVALUE("01.05.2017")),J:J)-SUM(AK2:AK4)</f>
        <v>0</v>
      </c>
      <c r="AN5" s="205">
        <v>43191</v>
      </c>
      <c r="AO5" s="207">
        <f>SUMIF(A:A,("&gt;="&amp;DATEVALUE("01.01.2018")),J:J)-SUMIF(A:A,("&gt;="&amp;DATEVALUE("01.05.2018")),J:J)-SUM(AO2:AO4)</f>
        <v>0</v>
      </c>
    </row>
    <row r="6" spans="1:41" ht="21">
      <c r="A6" s="45"/>
      <c r="E6" s="60"/>
      <c r="G6" s="46"/>
      <c r="I6" s="136"/>
      <c r="J6" s="210"/>
      <c r="K6" s="61"/>
      <c r="N6" s="208" t="s">
        <v>391</v>
      </c>
      <c r="O6" s="208"/>
      <c r="P6" s="208"/>
      <c r="S6" s="64"/>
      <c r="T6" s="57"/>
      <c r="X6" s="205">
        <v>41760</v>
      </c>
      <c r="Y6" s="203">
        <f>SUMIF(A:A,("&gt;="&amp;DATEVALUE("01.01.2014")),J:J)-SUMIF(A:A,("&gt;="&amp;DATEVALUE("01.06.2014")),J:J)-SUM(Y2:Y5)</f>
        <v>0</v>
      </c>
      <c r="Z6" s="64"/>
      <c r="AB6" s="205">
        <v>42125</v>
      </c>
      <c r="AC6" s="203">
        <f>SUMIF(A:A,("&gt;="&amp;DATEVALUE("01.01.2015")),J:J)-SUMIF(A:A,("&gt;="&amp;DATEVALUE("01.06.2015")),J:J)-SUM(AC2:AC5)</f>
        <v>0</v>
      </c>
      <c r="AF6" s="205">
        <v>42491</v>
      </c>
      <c r="AG6" s="207">
        <f>SUMIF(A:A,("&gt;="&amp;DATEVALUE("01.01.2016")),J:J)-SUMIF(A:A,("&gt;="&amp;DATEVALUE("01.06.2016")),J:J)-SUM(AG2:AG5)</f>
        <v>0</v>
      </c>
      <c r="AJ6" s="205">
        <v>42856</v>
      </c>
      <c r="AK6" s="207">
        <f>SUMIF(A:A,("&gt;="&amp;DATEVALUE("01.01.2017")),J:J)-SUMIF(A:A,("&gt;="&amp;DATEVALUE("01.06.2017")),J:J)-SUM(AK2:AK5)</f>
        <v>0</v>
      </c>
      <c r="AN6" s="205">
        <v>43221</v>
      </c>
      <c r="AO6" s="207">
        <f>SUMIF(A:A,("&gt;="&amp;DATEVALUE("01.01.2018")),J:J)-SUMIF(A:A,("&gt;="&amp;DATEVALUE("01.06.2018")),J:J)-SUM(AO2:AO5)</f>
        <v>0</v>
      </c>
    </row>
    <row r="7" spans="1:41" ht="21.75" thickBot="1">
      <c r="A7" s="45"/>
      <c r="E7" s="60"/>
      <c r="G7" s="46"/>
      <c r="I7" s="136"/>
      <c r="J7" s="210"/>
      <c r="K7" s="61"/>
      <c r="X7" s="205">
        <v>41791</v>
      </c>
      <c r="Y7" s="203">
        <f>SUMIF(A:A,("&gt;="&amp;DATEVALUE("01.01.2014")),J:J)-SUMIF(A:A,("&gt;="&amp;DATEVALUE("01.07.2014")),J:J)-SUM(Y2:Y6)</f>
        <v>512.21499999999924</v>
      </c>
      <c r="AB7" s="205">
        <v>42156</v>
      </c>
      <c r="AC7" s="203">
        <f>SUMIF(A:A,("&gt;="&amp;DATEVALUE("01.01.2015")),J:J)-SUMIF(A:A,("&gt;="&amp;DATEVALUE("01.07.2015")),J:J)-SUM(AC2:AC6)</f>
        <v>0</v>
      </c>
      <c r="AF7" s="205">
        <v>42522</v>
      </c>
      <c r="AG7" s="207">
        <f>SUMIF(A:A,("&gt;="&amp;DATEVALUE("01.01.2016")),J:J)-SUMIF(A:A,("&gt;="&amp;DATEVALUE("01.07.2016")),J:J)-SUM(AG2:AG6)</f>
        <v>0</v>
      </c>
      <c r="AJ7" s="205">
        <v>42887</v>
      </c>
      <c r="AK7" s="207">
        <f>SUMIF(A:A,("&gt;="&amp;DATEVALUE("01.01.2017")),J:J)-SUMIF(A:A,("&gt;="&amp;DATEVALUE("01.07.2017")),J:J)-SUM(AK2:AK6)</f>
        <v>0</v>
      </c>
      <c r="AN7" s="205">
        <v>43252</v>
      </c>
      <c r="AO7" s="207">
        <f>SUMIF(A:A,("&gt;="&amp;DATEVALUE("01.01.2018")),J:J)-SUMIF(A:A,("&gt;="&amp;DATEVALUE("01.07.2018")),J:J)-SUM(AO2:AO6)</f>
        <v>0</v>
      </c>
    </row>
    <row r="8" spans="1:41">
      <c r="A8" s="161"/>
      <c r="B8" s="162"/>
      <c r="C8" s="163"/>
      <c r="D8" s="164"/>
      <c r="E8" s="164"/>
      <c r="F8" s="164"/>
      <c r="G8" s="165" t="s">
        <v>86</v>
      </c>
      <c r="H8" s="164" t="s">
        <v>87</v>
      </c>
      <c r="I8" s="166" t="s">
        <v>95</v>
      </c>
      <c r="J8" s="212" t="s">
        <v>88</v>
      </c>
      <c r="K8" s="167"/>
      <c r="L8" s="168"/>
      <c r="S8" s="57"/>
      <c r="T8" s="51"/>
      <c r="W8" s="48"/>
      <c r="X8" s="205">
        <v>41821</v>
      </c>
      <c r="Y8" s="203">
        <f>SUMIF(A:A,("&gt;="&amp;DATEVALUE("01.01.2014")),J:J)-SUMIF(A:A,("&gt;="&amp;DATEVALUE("01.08.2014")),J:J)-SUM(Y2:Y7)</f>
        <v>846.50799999999981</v>
      </c>
      <c r="Z8" s="57"/>
      <c r="AB8" s="205">
        <v>42186</v>
      </c>
      <c r="AC8" s="203">
        <f>SUMIF(A:A,("&gt;="&amp;DATEVALUE("01.01.2015")),J:J)-SUMIF(A:A,("&gt;="&amp;DATEVALUE("01.08.2015")),J:J)-SUM(AC2:AC7)</f>
        <v>0</v>
      </c>
      <c r="AF8" s="205">
        <v>42552</v>
      </c>
      <c r="AG8" s="207">
        <f>SUMIF(A:A,("&gt;="&amp;DATEVALUE("01.01.2016")),J:J)-SUMIF(A:A,("&gt;="&amp;DATEVALUE("01.08.2016")),J:J)-SUM(AG2:AG7)</f>
        <v>0</v>
      </c>
      <c r="AJ8" s="205">
        <v>42917</v>
      </c>
      <c r="AK8" s="207">
        <f>SUMIF(A:A,("&gt;="&amp;DATEVALUE("01.01.2017")),J:J)-SUMIF(A:A,("&gt;="&amp;DATEVALUE("01.08.2017")),J:J)-SUM(AK2:AK7)</f>
        <v>0</v>
      </c>
      <c r="AN8" s="205">
        <v>43282</v>
      </c>
      <c r="AO8" s="207">
        <f>SUMIF(A:A,("&gt;="&amp;DATEVALUE("01.01.2018")),J:J)-SUMIF(A:A,("&gt;="&amp;DATEVALUE("01.08.2018")),J:J)-SUM(AO2:AO7)</f>
        <v>0</v>
      </c>
    </row>
    <row r="9" spans="1:41" ht="15.75" thickBot="1">
      <c r="A9" s="169" t="s">
        <v>77</v>
      </c>
      <c r="B9" s="170" t="s">
        <v>147</v>
      </c>
      <c r="C9" s="171"/>
      <c r="D9" s="172" t="s">
        <v>89</v>
      </c>
      <c r="E9" s="172" t="s">
        <v>90</v>
      </c>
      <c r="F9" s="172" t="s">
        <v>91</v>
      </c>
      <c r="G9" s="173" t="s">
        <v>92</v>
      </c>
      <c r="H9" s="172" t="s">
        <v>93</v>
      </c>
      <c r="I9" s="174" t="s">
        <v>94</v>
      </c>
      <c r="J9" s="213" t="s">
        <v>95</v>
      </c>
      <c r="K9" s="172" t="s">
        <v>96</v>
      </c>
      <c r="L9" s="175" t="s">
        <v>71</v>
      </c>
      <c r="M9" s="48"/>
      <c r="N9" s="48"/>
      <c r="R9" s="51"/>
      <c r="X9" s="205">
        <v>41852</v>
      </c>
      <c r="Y9" s="203">
        <f>SUMIF(A:A,("&gt;="&amp;DATEVALUE("01.01.2014")),J:J)-SUMIF(A:A,("&gt;="&amp;DATEVALUE("01.09.2014")),J:J)-SUM(Y2:Y8)</f>
        <v>0</v>
      </c>
      <c r="AB9" s="205">
        <v>42217</v>
      </c>
      <c r="AC9" s="203">
        <f>SUMIF(A:A,("&gt;="&amp;DATEVALUE("01.01.2015")),J:J)-SUMIF(A:A,("&gt;="&amp;DATEVALUE("01.09.2015")),J:J)-SUM(AC2:AC8)</f>
        <v>0</v>
      </c>
      <c r="AF9" s="205">
        <v>42583</v>
      </c>
      <c r="AG9" s="207">
        <f>SUMIF(A:A,("&gt;="&amp;DATEVALUE("01.01.2016")),J:J)-SUMIF(A:A,("&gt;="&amp;DATEVALUE("01.09.2016")),J:J)-SUM(AG2:AG8)</f>
        <v>0</v>
      </c>
      <c r="AJ9" s="205">
        <v>42948</v>
      </c>
      <c r="AK9" s="207">
        <f>SUMIF(A:A,("&gt;="&amp;DATEVALUE("01.01.2017")),J:J)-SUMIF(A:A,("&gt;="&amp;DATEVALUE("01.09.2017")),J:J)-SUM(AK2:AK8)</f>
        <v>0</v>
      </c>
      <c r="AN9" s="205">
        <v>43313</v>
      </c>
      <c r="AO9" s="207">
        <f>SUMIF(A:A,("&gt;="&amp;DATEVALUE("01.01.2018")),J:J)-SUMIF(A:A,("&gt;="&amp;DATEVALUE("01.09.2018")),J:J)-SUM(AO2:AO8)</f>
        <v>0</v>
      </c>
    </row>
    <row r="10" spans="1:41" hidden="1">
      <c r="A10" s="45">
        <v>41649</v>
      </c>
      <c r="B10" s="74">
        <v>201</v>
      </c>
      <c r="D10" s="47" t="s">
        <v>348</v>
      </c>
      <c r="E10">
        <v>1001</v>
      </c>
      <c r="F10">
        <v>96</v>
      </c>
      <c r="G10">
        <v>0.2626</v>
      </c>
      <c r="H10">
        <v>0.54999999999999993</v>
      </c>
      <c r="I10">
        <v>0.28739999999999993</v>
      </c>
      <c r="J10" s="214">
        <v>27.590399999999995</v>
      </c>
      <c r="K10">
        <v>109.44402132520942</v>
      </c>
      <c r="X10" s="205">
        <v>41883</v>
      </c>
      <c r="Y10" s="203">
        <f>SUMIF(A:A,("&gt;="&amp;DATEVALUE("01.01.2014")),J:J)-SUMIF(A:A,("&gt;="&amp;DATEVALUE("01.10.2014")),J:J)-SUM(Y2:Y9)</f>
        <v>0</v>
      </c>
      <c r="AB10" s="205">
        <v>42248</v>
      </c>
      <c r="AC10" s="203">
        <f>SUMIF(A:A,("&gt;="&amp;DATEVALUE("01.01.2015")),J:J)-SUMIF(A:A,("&gt;="&amp;DATEVALUE("01.10.2015")),J:J)-SUM(AC2:AC9)</f>
        <v>0</v>
      </c>
      <c r="AF10" s="205">
        <v>42614</v>
      </c>
      <c r="AG10" s="207">
        <f>SUMIF(A:A,("&gt;="&amp;DATEVALUE("01.01.2016")),J:J)-SUMIF(A:A,("&gt;="&amp;DATEVALUE("01.10.2016")),J:J)-SUM(AG2:AG9)</f>
        <v>0</v>
      </c>
      <c r="AJ10" s="205">
        <v>42979</v>
      </c>
      <c r="AK10" s="207">
        <f>SUMIF(A:A,("&gt;="&amp;DATEVALUE("01.01.2017")),J:J)-SUMIF(A:A,("&gt;="&amp;DATEVALUE("01.10.2017")),J:J)-SUM(AK2:AK9)</f>
        <v>0</v>
      </c>
      <c r="AN10" s="205">
        <v>43344</v>
      </c>
      <c r="AO10" s="207">
        <f>SUMIF(A:A,("&gt;="&amp;DATEVALUE("01.01.2018")),J:J)-SUMIF(A:A,("&gt;="&amp;DATEVALUE("01.10.2018")),J:J)-SUM(AO2:AO9)</f>
        <v>0</v>
      </c>
    </row>
    <row r="11" spans="1:41" hidden="1">
      <c r="A11" s="45">
        <v>41649</v>
      </c>
      <c r="B11" s="74">
        <v>201</v>
      </c>
      <c r="D11" s="47" t="s">
        <v>348</v>
      </c>
      <c r="E11" t="s">
        <v>351</v>
      </c>
      <c r="F11">
        <v>1</v>
      </c>
      <c r="G11">
        <v>0</v>
      </c>
      <c r="H11">
        <v>0.17</v>
      </c>
      <c r="I11">
        <v>0.17</v>
      </c>
      <c r="J11" s="214">
        <v>0.17</v>
      </c>
      <c r="K11" t="s">
        <v>352</v>
      </c>
      <c r="X11" s="205">
        <v>41913</v>
      </c>
      <c r="Y11" s="203">
        <f>SUMIF(A:A,("&gt;="&amp;DATEVALUE("01.01.2014")),J:J)-SUMIF(A:A,("&gt;="&amp;DATEVALUE("01.11.2014")),J:J)-SUM(Y2:Y10)</f>
        <v>0</v>
      </c>
      <c r="AB11" s="205">
        <v>42278</v>
      </c>
      <c r="AC11" s="203">
        <f>SUMIF(A:A,("&gt;="&amp;DATEVALUE("01.01.2015")),J:J)-SUMIF(A:A,("&gt;="&amp;DATEVALUE("01.11.2015")),J:J)-SUM(AC2:AC10)</f>
        <v>0</v>
      </c>
      <c r="AF11" s="205">
        <v>42644</v>
      </c>
      <c r="AG11" s="207">
        <f>SUMIF(A:A,("&gt;="&amp;DATEVALUE("01.01.2016")),J:J)-SUMIF(A:A,("&gt;="&amp;DATEVALUE("01.11.2016")),J:J)-SUM(AG2:AG10)</f>
        <v>0</v>
      </c>
      <c r="AJ11" s="205">
        <v>43009</v>
      </c>
      <c r="AK11" s="207">
        <f>SUMIF(A:A,("&gt;="&amp;DATEVALUE("01.01.2017")),J:J)-SUMIF(A:A,("&gt;="&amp;DATEVALUE("01.11.2017")),J:J)-SUM(AK2:AK10)</f>
        <v>0</v>
      </c>
      <c r="AN11" s="205">
        <v>43374</v>
      </c>
      <c r="AO11" s="207">
        <f>SUMIF(A:A,("&gt;="&amp;DATEVALUE("01.01.2018")),J:J)-SUMIF(A:A,("&gt;="&amp;DATEVALUE("01.11.2018")),J:J)-SUM(AO2:AO10)</f>
        <v>0</v>
      </c>
    </row>
    <row r="12" spans="1:41" hidden="1">
      <c r="A12" s="45">
        <v>41649</v>
      </c>
      <c r="B12" s="74">
        <v>302</v>
      </c>
      <c r="D12" s="47" t="s">
        <v>359</v>
      </c>
      <c r="E12">
        <v>1001</v>
      </c>
      <c r="F12">
        <v>24</v>
      </c>
      <c r="G12">
        <v>0.2626</v>
      </c>
      <c r="H12">
        <v>0.49</v>
      </c>
      <c r="I12">
        <v>0.22739999999999999</v>
      </c>
      <c r="J12" s="214">
        <v>5.4575999999999993</v>
      </c>
      <c r="K12">
        <v>86.595582635186588</v>
      </c>
      <c r="X12" s="205">
        <v>41944</v>
      </c>
      <c r="Y12" s="203">
        <f>SUMIF(A:A,("&gt;="&amp;DATEVALUE("01.01.2014")),J:J)-SUMIF(A:A,("&gt;="&amp;DATEVALUE("01.12.2014")),J:J)-SUM(Y2:Y11)</f>
        <v>0</v>
      </c>
      <c r="AB12" s="205">
        <v>42309</v>
      </c>
      <c r="AC12" s="203">
        <f>SUMIF(A:A,("&gt;="&amp;DATEVALUE("01.01.2015")),J:J)-SUMIF(A:A,("&gt;="&amp;DATEVALUE("01.12.2015")),J:J)-SUM(AC2:AC11)</f>
        <v>0</v>
      </c>
      <c r="AF12" s="205">
        <v>42675</v>
      </c>
      <c r="AG12" s="207">
        <f>SUMIF(A:A,("&gt;="&amp;DATEVALUE("01.01.2016")),J:J)-SUMIF(A:A,("&gt;="&amp;DATEVALUE("01.12.2016")),J:J)-SUM(AG2:AG11)</f>
        <v>0</v>
      </c>
      <c r="AJ12" s="205">
        <v>43040</v>
      </c>
      <c r="AK12" s="207">
        <f>SUMIF(A:A,("&gt;="&amp;DATEVALUE("01.01.2017")),J:J)-SUMIF(A:A,("&gt;="&amp;DATEVALUE("01.12.2017")),J:J)-SUM(AK2:AK11)</f>
        <v>0</v>
      </c>
      <c r="AN12" s="205">
        <v>43405</v>
      </c>
      <c r="AO12" s="207">
        <f>SUMIF(A:A,("&gt;="&amp;DATEVALUE("01.01.2018")),J:J)-SUMIF(A:A,("&gt;="&amp;DATEVALUE("01.12.2018")),J:J)-SUM(AO2:AO11)</f>
        <v>0</v>
      </c>
    </row>
    <row r="13" spans="1:41" hidden="1">
      <c r="A13" s="45">
        <v>41649</v>
      </c>
      <c r="B13" s="74">
        <v>302</v>
      </c>
      <c r="D13" s="47" t="s">
        <v>359</v>
      </c>
      <c r="E13" t="s">
        <v>351</v>
      </c>
      <c r="F13">
        <v>1</v>
      </c>
      <c r="G13">
        <v>0</v>
      </c>
      <c r="H13">
        <v>0.01</v>
      </c>
      <c r="I13">
        <v>0.01</v>
      </c>
      <c r="J13" s="214">
        <v>0.01</v>
      </c>
      <c r="K13" t="s">
        <v>352</v>
      </c>
      <c r="X13" s="205">
        <v>41974</v>
      </c>
      <c r="Y13" s="203">
        <f>SUMIF(A:A,("&gt;="&amp;DATEVALUE("01.01.2014")),J:J)-SUMIF(A:A,("&gt;="&amp;DATEVALUE("01.01.2015")),J:J)-SUM(Y2:Y12)</f>
        <v>0</v>
      </c>
      <c r="AB13" s="205">
        <v>42339</v>
      </c>
      <c r="AC13" s="203">
        <f>SUMIF(A:A,("&gt;="&amp;DATEVALUE("01.01.2015")),J:J)-SUMIF(A:A,("&gt;="&amp;DATEVALUE("01.01.2016")),J:J)-SUM(AC2:AC12)</f>
        <v>0</v>
      </c>
      <c r="AF13" s="205">
        <v>42705</v>
      </c>
      <c r="AG13" s="207">
        <f>SUMIF(A:A,("&gt;="&amp;DATEVALUE("01.01.2016")),J:J)-SUMIF(A:A,("&gt;="&amp;DATEVALUE("01.01.2017")),J:J)-SUM(AG2:AG12)</f>
        <v>0</v>
      </c>
      <c r="AJ13" s="205">
        <v>43070</v>
      </c>
      <c r="AK13" s="207">
        <f>SUMIF(A:A,("&gt;="&amp;DATEVALUE("01.01.2017")),J:J)-SUMIF(A:A,("&gt;="&amp;DATEVALUE("01.01.2018")),J:J)-SUM(AK2:AK12)</f>
        <v>0</v>
      </c>
      <c r="AN13" s="205">
        <v>43435</v>
      </c>
      <c r="AO13" s="207">
        <f>SUMIF(A:A,("&gt;="&amp;DATEVALUE("01.01.2018")),J:J)-SUMIF(A:A,("&gt;="&amp;DATEVALUE("01.01.2019")),J:J)-SUM(AO2:AO12)</f>
        <v>0</v>
      </c>
    </row>
    <row r="14" spans="1:41" hidden="1">
      <c r="A14" s="45">
        <v>41649</v>
      </c>
      <c r="B14" s="74">
        <v>212</v>
      </c>
      <c r="D14" s="47" t="s">
        <v>363</v>
      </c>
      <c r="E14">
        <v>1001</v>
      </c>
      <c r="F14">
        <v>48</v>
      </c>
      <c r="G14">
        <v>0.2626</v>
      </c>
      <c r="H14">
        <v>0.59</v>
      </c>
      <c r="I14">
        <v>0.32739999999999997</v>
      </c>
      <c r="J14" s="214">
        <v>15.715199999999999</v>
      </c>
      <c r="K14">
        <v>124.67631378522466</v>
      </c>
      <c r="X14" s="47" t="s">
        <v>88</v>
      </c>
      <c r="Y14" s="204">
        <f>SUM(Y2:Y13)</f>
        <v>2849.1413000000011</v>
      </c>
      <c r="AB14" s="47" t="s">
        <v>88</v>
      </c>
      <c r="AC14" s="204">
        <f>SUM(AC2:AC13)</f>
        <v>0</v>
      </c>
      <c r="AF14" s="47" t="s">
        <v>88</v>
      </c>
      <c r="AG14" s="204">
        <f>SUM(AG2:AG13)</f>
        <v>0</v>
      </c>
      <c r="AJ14" s="47" t="s">
        <v>88</v>
      </c>
      <c r="AK14" s="204">
        <f>SUM(AK2:AK13)</f>
        <v>0</v>
      </c>
      <c r="AN14" s="47" t="s">
        <v>88</v>
      </c>
      <c r="AO14" s="204">
        <f>SUM(AO2:AO13)</f>
        <v>0</v>
      </c>
    </row>
    <row r="15" spans="1:41" hidden="1">
      <c r="A15" s="45">
        <v>41649</v>
      </c>
      <c r="B15" s="74">
        <v>211</v>
      </c>
      <c r="D15" s="47" t="s">
        <v>367</v>
      </c>
      <c r="E15">
        <v>1001</v>
      </c>
      <c r="F15">
        <v>96</v>
      </c>
      <c r="G15">
        <v>0.2626</v>
      </c>
      <c r="H15">
        <v>0.49</v>
      </c>
      <c r="I15">
        <v>0.22739999999999999</v>
      </c>
      <c r="J15" s="214">
        <v>21.830399999999997</v>
      </c>
      <c r="K15">
        <v>86.595582635186588</v>
      </c>
    </row>
    <row r="16" spans="1:41" hidden="1">
      <c r="A16" s="45">
        <v>41649</v>
      </c>
      <c r="B16" s="74">
        <v>211</v>
      </c>
      <c r="D16" s="47" t="s">
        <v>367</v>
      </c>
      <c r="E16" t="s">
        <v>351</v>
      </c>
      <c r="F16">
        <v>1</v>
      </c>
      <c r="G16">
        <v>0</v>
      </c>
      <c r="H16">
        <v>0.02</v>
      </c>
      <c r="I16">
        <v>0.02</v>
      </c>
      <c r="J16" s="214">
        <v>0.02</v>
      </c>
      <c r="K16" t="s">
        <v>352</v>
      </c>
    </row>
    <row r="17" spans="1:29" hidden="1">
      <c r="A17" s="45">
        <v>41649</v>
      </c>
      <c r="B17" s="74">
        <v>401</v>
      </c>
      <c r="D17" s="47" t="s">
        <v>371</v>
      </c>
      <c r="E17">
        <v>1001</v>
      </c>
      <c r="F17">
        <v>24</v>
      </c>
      <c r="G17">
        <v>0.2626</v>
      </c>
      <c r="H17">
        <v>0.59</v>
      </c>
      <c r="I17">
        <v>0.32739999999999997</v>
      </c>
      <c r="J17" s="214">
        <v>7.8575999999999997</v>
      </c>
      <c r="K17">
        <v>124.67631378522466</v>
      </c>
    </row>
    <row r="18" spans="1:29" hidden="1">
      <c r="A18" s="45">
        <v>41649</v>
      </c>
      <c r="B18" s="74">
        <v>51</v>
      </c>
      <c r="D18" s="47" t="s">
        <v>373</v>
      </c>
      <c r="E18">
        <v>1001</v>
      </c>
      <c r="F18">
        <v>96</v>
      </c>
      <c r="G18">
        <v>0.2626</v>
      </c>
      <c r="H18">
        <v>0.54999999999999993</v>
      </c>
      <c r="I18">
        <v>0.28739999999999993</v>
      </c>
      <c r="J18" s="214">
        <v>27.590399999999995</v>
      </c>
      <c r="K18">
        <v>109.44402132520942</v>
      </c>
    </row>
    <row r="19" spans="1:29" hidden="1">
      <c r="A19" s="45">
        <v>41649</v>
      </c>
      <c r="B19" s="74">
        <v>51</v>
      </c>
      <c r="D19" s="47" t="s">
        <v>373</v>
      </c>
      <c r="E19" t="s">
        <v>351</v>
      </c>
      <c r="F19">
        <v>1</v>
      </c>
      <c r="G19">
        <v>0</v>
      </c>
      <c r="H19">
        <v>0.17</v>
      </c>
      <c r="I19">
        <v>0.17</v>
      </c>
      <c r="J19" s="214">
        <v>0.17</v>
      </c>
      <c r="K19" t="s">
        <v>352</v>
      </c>
    </row>
    <row r="20" spans="1:29" hidden="1">
      <c r="A20" s="45">
        <v>41649</v>
      </c>
      <c r="B20" s="74">
        <v>801</v>
      </c>
      <c r="D20" s="47" t="s">
        <v>376</v>
      </c>
      <c r="E20">
        <v>1001</v>
      </c>
      <c r="F20">
        <v>72</v>
      </c>
      <c r="G20">
        <v>0.26260000000000006</v>
      </c>
      <c r="H20">
        <v>0.47000000000000003</v>
      </c>
      <c r="I20">
        <v>0.20739999999999997</v>
      </c>
      <c r="J20" s="214">
        <v>14.932799999999999</v>
      </c>
      <c r="K20">
        <v>78.979436405178959</v>
      </c>
      <c r="AC20" t="s">
        <v>388</v>
      </c>
    </row>
    <row r="21" spans="1:29" hidden="1">
      <c r="A21" s="45">
        <v>41642</v>
      </c>
      <c r="B21" s="74">
        <v>101</v>
      </c>
      <c r="D21" s="47" t="s">
        <v>345</v>
      </c>
      <c r="E21">
        <v>4007</v>
      </c>
      <c r="F21">
        <v>1890</v>
      </c>
      <c r="G21">
        <v>0.60270000000000001</v>
      </c>
      <c r="H21">
        <v>0.93</v>
      </c>
      <c r="I21">
        <v>0.32730000000000004</v>
      </c>
      <c r="J21" s="214">
        <v>618.59700000000009</v>
      </c>
      <c r="K21">
        <v>54.305624688899954</v>
      </c>
      <c r="AC21" t="s">
        <v>389</v>
      </c>
    </row>
    <row r="22" spans="1:29" hidden="1">
      <c r="A22" s="45">
        <v>41666</v>
      </c>
      <c r="B22" s="74">
        <v>52</v>
      </c>
      <c r="D22" s="47" t="s">
        <v>398</v>
      </c>
      <c r="E22">
        <v>1001</v>
      </c>
      <c r="F22">
        <v>48</v>
      </c>
      <c r="G22">
        <v>0.2626</v>
      </c>
      <c r="H22">
        <v>0.49</v>
      </c>
      <c r="I22">
        <v>0.22739999999999999</v>
      </c>
      <c r="J22" s="214">
        <v>10.915199999999999</v>
      </c>
      <c r="K22">
        <v>86.595582635186588</v>
      </c>
    </row>
    <row r="23" spans="1:29" ht="13.5" hidden="1" customHeight="1">
      <c r="A23" s="45">
        <v>41669</v>
      </c>
      <c r="B23" s="74">
        <v>801</v>
      </c>
      <c r="D23" s="47" t="s">
        <v>409</v>
      </c>
      <c r="E23">
        <v>1001</v>
      </c>
      <c r="F23">
        <v>24</v>
      </c>
      <c r="G23">
        <v>0.2626</v>
      </c>
      <c r="H23">
        <v>0.47</v>
      </c>
      <c r="I23">
        <v>0.20739999999999997</v>
      </c>
      <c r="J23" s="214">
        <v>4.9775999999999989</v>
      </c>
      <c r="K23">
        <v>78.979436405178973</v>
      </c>
    </row>
    <row r="24" spans="1:29" hidden="1">
      <c r="A24" s="45">
        <v>41669</v>
      </c>
      <c r="B24" s="74">
        <v>801</v>
      </c>
      <c r="D24" s="47" t="s">
        <v>409</v>
      </c>
      <c r="E24">
        <v>2001</v>
      </c>
      <c r="F24">
        <v>36</v>
      </c>
      <c r="G24">
        <v>0.58000000000000007</v>
      </c>
      <c r="H24">
        <v>0.85000000000000009</v>
      </c>
      <c r="I24">
        <v>0.27</v>
      </c>
      <c r="J24" s="214">
        <v>9.7200000000000006</v>
      </c>
      <c r="K24">
        <v>46.551724137931032</v>
      </c>
    </row>
    <row r="25" spans="1:29" hidden="1">
      <c r="A25" s="45">
        <v>41669</v>
      </c>
      <c r="B25" s="74">
        <v>801</v>
      </c>
      <c r="D25" s="47" t="s">
        <v>409</v>
      </c>
      <c r="E25">
        <v>2002</v>
      </c>
      <c r="F25">
        <v>36</v>
      </c>
      <c r="G25">
        <v>0.58000000000000007</v>
      </c>
      <c r="H25">
        <v>0.85000000000000009</v>
      </c>
      <c r="I25">
        <v>0.27</v>
      </c>
      <c r="J25" s="214">
        <v>9.7200000000000006</v>
      </c>
      <c r="K25">
        <v>46.551724137931032</v>
      </c>
    </row>
    <row r="26" spans="1:29" hidden="1">
      <c r="A26" s="45">
        <v>41669</v>
      </c>
      <c r="B26" s="74">
        <v>801</v>
      </c>
      <c r="D26" s="47" t="s">
        <v>409</v>
      </c>
      <c r="E26" t="s">
        <v>351</v>
      </c>
      <c r="F26">
        <v>1</v>
      </c>
      <c r="G26">
        <v>0</v>
      </c>
      <c r="H26">
        <v>0.75</v>
      </c>
      <c r="I26">
        <v>0.75</v>
      </c>
      <c r="J26" s="214">
        <v>0.75</v>
      </c>
      <c r="K26" t="s">
        <v>352</v>
      </c>
    </row>
    <row r="27" spans="1:29" hidden="1">
      <c r="A27" s="45">
        <v>41669</v>
      </c>
      <c r="B27" s="74">
        <v>312</v>
      </c>
      <c r="D27" s="47" t="s">
        <v>412</v>
      </c>
      <c r="E27">
        <v>1001</v>
      </c>
      <c r="F27">
        <v>48</v>
      </c>
      <c r="G27">
        <v>0.2626</v>
      </c>
      <c r="H27">
        <v>0.6</v>
      </c>
      <c r="I27">
        <v>0.33739999999999998</v>
      </c>
      <c r="J27" s="214">
        <v>16.1952</v>
      </c>
      <c r="K27">
        <v>128.48438690022849</v>
      </c>
    </row>
    <row r="28" spans="1:29" hidden="1">
      <c r="A28" s="45">
        <v>41669</v>
      </c>
      <c r="B28" s="74">
        <v>312</v>
      </c>
      <c r="D28" s="47" t="s">
        <v>412</v>
      </c>
      <c r="E28" t="s">
        <v>351</v>
      </c>
      <c r="F28">
        <v>1</v>
      </c>
      <c r="G28">
        <v>0</v>
      </c>
      <c r="H28">
        <v>0.73</v>
      </c>
      <c r="I28">
        <v>0.73</v>
      </c>
      <c r="J28" s="214">
        <v>0.73</v>
      </c>
      <c r="K28" t="s">
        <v>352</v>
      </c>
    </row>
    <row r="29" spans="1:29" hidden="1">
      <c r="A29" s="45">
        <v>41669</v>
      </c>
      <c r="B29" s="74">
        <v>201</v>
      </c>
      <c r="D29" s="47" t="s">
        <v>413</v>
      </c>
      <c r="E29">
        <v>1001</v>
      </c>
      <c r="F29">
        <v>48</v>
      </c>
      <c r="G29">
        <v>0.2626</v>
      </c>
      <c r="H29">
        <v>0.54999999999999993</v>
      </c>
      <c r="I29">
        <v>0.28739999999999993</v>
      </c>
      <c r="J29" s="214">
        <v>13.795199999999998</v>
      </c>
      <c r="K29">
        <v>109.44402132520942</v>
      </c>
    </row>
    <row r="30" spans="1:29" hidden="1">
      <c r="A30" s="45">
        <v>41669</v>
      </c>
      <c r="B30" s="74">
        <v>201</v>
      </c>
      <c r="D30" s="47" t="s">
        <v>413</v>
      </c>
      <c r="E30" t="s">
        <v>351</v>
      </c>
      <c r="F30">
        <v>1</v>
      </c>
      <c r="G30">
        <v>0</v>
      </c>
      <c r="H30">
        <v>0.08</v>
      </c>
      <c r="I30">
        <v>0.08</v>
      </c>
      <c r="J30" s="214">
        <v>0.08</v>
      </c>
      <c r="K30" t="s">
        <v>352</v>
      </c>
    </row>
    <row r="31" spans="1:29" hidden="1">
      <c r="A31" s="45">
        <v>41653</v>
      </c>
      <c r="B31" s="74">
        <v>101</v>
      </c>
      <c r="D31" s="47" t="s">
        <v>384</v>
      </c>
      <c r="E31">
        <v>4008</v>
      </c>
      <c r="F31">
        <v>2160</v>
      </c>
      <c r="G31">
        <v>0.31609999999999999</v>
      </c>
      <c r="H31">
        <v>0.39850000000000002</v>
      </c>
      <c r="I31">
        <v>8.2400000000000029E-2</v>
      </c>
      <c r="J31" s="214">
        <v>177.98400000000007</v>
      </c>
      <c r="K31">
        <v>26.067700094906684</v>
      </c>
    </row>
    <row r="32" spans="1:29" hidden="1">
      <c r="A32" s="45">
        <v>41673</v>
      </c>
      <c r="B32" s="74">
        <v>101</v>
      </c>
      <c r="D32" s="47" t="s">
        <v>457</v>
      </c>
      <c r="E32">
        <v>4007</v>
      </c>
      <c r="F32">
        <v>82</v>
      </c>
      <c r="G32">
        <v>0.60270000000000001</v>
      </c>
      <c r="H32">
        <v>0.93</v>
      </c>
      <c r="I32">
        <v>0.32730000000000004</v>
      </c>
      <c r="J32" s="214">
        <v>26.838600000000003</v>
      </c>
      <c r="K32">
        <v>54.305624688899954</v>
      </c>
    </row>
    <row r="33" spans="1:11" hidden="1">
      <c r="A33" s="45">
        <v>41673</v>
      </c>
      <c r="B33" s="74">
        <v>101</v>
      </c>
      <c r="D33" s="47" t="s">
        <v>457</v>
      </c>
      <c r="E33">
        <v>4008</v>
      </c>
      <c r="F33">
        <v>60</v>
      </c>
      <c r="G33">
        <v>0.31609999999999994</v>
      </c>
      <c r="H33">
        <v>0.38999999999999996</v>
      </c>
      <c r="I33">
        <v>7.3900000000000021E-2</v>
      </c>
      <c r="J33" s="214">
        <v>4.4340000000000011</v>
      </c>
      <c r="K33">
        <v>23.378677633660246</v>
      </c>
    </row>
    <row r="34" spans="1:11" hidden="1">
      <c r="A34" s="45">
        <v>41673</v>
      </c>
      <c r="B34" s="74">
        <v>101</v>
      </c>
      <c r="D34" s="47" t="s">
        <v>457</v>
      </c>
      <c r="E34">
        <v>2002</v>
      </c>
      <c r="F34">
        <v>84</v>
      </c>
      <c r="G34">
        <v>0.57999999999999996</v>
      </c>
      <c r="H34">
        <v>0.79</v>
      </c>
      <c r="I34">
        <v>0.21000000000000008</v>
      </c>
      <c r="J34" s="214">
        <v>17.640000000000008</v>
      </c>
      <c r="K34">
        <v>36.206896551724157</v>
      </c>
    </row>
    <row r="35" spans="1:11" hidden="1">
      <c r="A35" s="45">
        <v>41673</v>
      </c>
      <c r="B35" s="74">
        <v>101</v>
      </c>
      <c r="D35" s="47" t="s">
        <v>457</v>
      </c>
      <c r="E35">
        <v>9001</v>
      </c>
      <c r="F35">
        <v>1</v>
      </c>
      <c r="G35">
        <v>5.9</v>
      </c>
      <c r="H35">
        <v>5.9</v>
      </c>
      <c r="I35">
        <v>0</v>
      </c>
      <c r="J35" s="214">
        <v>0</v>
      </c>
      <c r="K35">
        <v>0</v>
      </c>
    </row>
    <row r="36" spans="1:11" hidden="1">
      <c r="A36" s="45">
        <v>41675</v>
      </c>
      <c r="B36" s="74">
        <v>51</v>
      </c>
      <c r="D36" s="47" t="s">
        <v>460</v>
      </c>
      <c r="E36">
        <v>1001</v>
      </c>
      <c r="F36">
        <v>120</v>
      </c>
      <c r="G36">
        <v>0.2626</v>
      </c>
      <c r="H36">
        <v>0.55000000000000004</v>
      </c>
      <c r="I36">
        <v>0.28740000000000004</v>
      </c>
      <c r="J36" s="214">
        <v>34.488000000000007</v>
      </c>
      <c r="K36">
        <v>109.44402132520946</v>
      </c>
    </row>
    <row r="37" spans="1:11" hidden="1">
      <c r="A37" s="45">
        <v>41675</v>
      </c>
      <c r="B37" s="74">
        <v>51</v>
      </c>
      <c r="D37" s="47" t="s">
        <v>460</v>
      </c>
      <c r="E37" t="s">
        <v>351</v>
      </c>
      <c r="F37">
        <v>1</v>
      </c>
      <c r="G37">
        <v>0</v>
      </c>
      <c r="H37">
        <v>-0.04</v>
      </c>
      <c r="I37">
        <v>-0.04</v>
      </c>
      <c r="J37" s="214">
        <v>-0.04</v>
      </c>
      <c r="K37" t="s">
        <v>352</v>
      </c>
    </row>
    <row r="38" spans="1:11" hidden="1">
      <c r="A38" s="45">
        <v>41681</v>
      </c>
      <c r="B38" s="74">
        <v>801</v>
      </c>
      <c r="D38" s="47" t="s">
        <v>467</v>
      </c>
      <c r="E38">
        <v>3002</v>
      </c>
      <c r="F38">
        <v>1</v>
      </c>
      <c r="G38">
        <v>8.6549999999999994</v>
      </c>
      <c r="H38">
        <v>13.44</v>
      </c>
      <c r="I38">
        <v>4.7850000000000001</v>
      </c>
      <c r="J38" s="214">
        <v>4.7850000000000001</v>
      </c>
      <c r="K38">
        <v>55.285961871750438</v>
      </c>
    </row>
    <row r="39" spans="1:11" hidden="1">
      <c r="A39" s="45">
        <v>41681</v>
      </c>
      <c r="B39" s="74">
        <v>801</v>
      </c>
      <c r="D39" s="47" t="s">
        <v>467</v>
      </c>
      <c r="E39" t="s">
        <v>351</v>
      </c>
      <c r="F39">
        <v>1</v>
      </c>
      <c r="G39">
        <v>0</v>
      </c>
      <c r="H39">
        <v>0.01</v>
      </c>
      <c r="I39">
        <v>0.01</v>
      </c>
      <c r="J39" s="214">
        <v>0.01</v>
      </c>
      <c r="K39" t="s">
        <v>352</v>
      </c>
    </row>
    <row r="40" spans="1:11" hidden="1">
      <c r="A40" s="45">
        <v>41682</v>
      </c>
      <c r="B40" s="74">
        <v>801</v>
      </c>
      <c r="D40" s="47" t="s">
        <v>469</v>
      </c>
      <c r="E40">
        <v>1001</v>
      </c>
      <c r="F40">
        <v>24</v>
      </c>
      <c r="G40">
        <v>0.2626</v>
      </c>
      <c r="H40">
        <v>0.47</v>
      </c>
      <c r="I40">
        <v>0.20739999999999997</v>
      </c>
      <c r="J40" s="214">
        <v>4.9775999999999989</v>
      </c>
      <c r="K40">
        <v>78.979436405178973</v>
      </c>
    </row>
    <row r="41" spans="1:11" hidden="1">
      <c r="A41" s="45">
        <v>41682</v>
      </c>
      <c r="B41" s="74">
        <v>211</v>
      </c>
      <c r="D41" s="47" t="s">
        <v>471</v>
      </c>
      <c r="E41">
        <v>1001</v>
      </c>
      <c r="F41">
        <v>96</v>
      </c>
      <c r="G41">
        <v>0.2626</v>
      </c>
      <c r="H41">
        <v>0.54999999999999993</v>
      </c>
      <c r="I41">
        <v>0.28739999999999993</v>
      </c>
      <c r="J41" s="214">
        <v>27.590399999999995</v>
      </c>
      <c r="K41">
        <v>109.44402132520942</v>
      </c>
    </row>
    <row r="42" spans="1:11" hidden="1">
      <c r="A42" s="45">
        <v>41682</v>
      </c>
      <c r="B42" s="74">
        <v>211</v>
      </c>
      <c r="D42" s="47" t="s">
        <v>471</v>
      </c>
      <c r="E42" t="s">
        <v>351</v>
      </c>
      <c r="F42">
        <v>1</v>
      </c>
      <c r="G42">
        <v>0</v>
      </c>
      <c r="H42">
        <v>0.17</v>
      </c>
      <c r="I42">
        <v>0.17</v>
      </c>
      <c r="J42" s="214">
        <v>0.17</v>
      </c>
      <c r="K42" t="s">
        <v>352</v>
      </c>
    </row>
    <row r="43" spans="1:11" hidden="1">
      <c r="A43" s="45">
        <v>41684</v>
      </c>
      <c r="B43" s="74">
        <v>802</v>
      </c>
      <c r="D43" s="47" t="s">
        <v>478</v>
      </c>
      <c r="E43">
        <v>5001</v>
      </c>
      <c r="F43">
        <v>5</v>
      </c>
      <c r="G43">
        <v>1.0566999999999998</v>
      </c>
      <c r="H43">
        <v>2.4899999999999998</v>
      </c>
      <c r="I43">
        <v>1.4333</v>
      </c>
      <c r="J43" s="214">
        <v>7.1665000000000001</v>
      </c>
      <c r="K43">
        <v>135.63925428219935</v>
      </c>
    </row>
    <row r="44" spans="1:11" hidden="1">
      <c r="A44" s="45">
        <v>41684</v>
      </c>
      <c r="B44" s="74">
        <v>802</v>
      </c>
      <c r="D44" s="47" t="s">
        <v>478</v>
      </c>
      <c r="E44">
        <v>2001</v>
      </c>
      <c r="F44">
        <v>72</v>
      </c>
      <c r="G44">
        <v>0.57996250000000005</v>
      </c>
      <c r="H44">
        <v>0.85000000000000009</v>
      </c>
      <c r="I44">
        <v>0.27003750000000004</v>
      </c>
      <c r="J44" s="214">
        <v>19.442700000000002</v>
      </c>
      <c r="K44">
        <v>46.561200077591224</v>
      </c>
    </row>
    <row r="45" spans="1:11" hidden="1">
      <c r="A45" s="45">
        <v>41684</v>
      </c>
      <c r="B45" s="74">
        <v>802</v>
      </c>
      <c r="D45" s="47" t="s">
        <v>478</v>
      </c>
      <c r="E45">
        <v>3002</v>
      </c>
      <c r="F45">
        <v>1</v>
      </c>
      <c r="G45">
        <v>8.6550000000000011</v>
      </c>
      <c r="H45">
        <v>12.49</v>
      </c>
      <c r="I45">
        <v>3.8349999999999991</v>
      </c>
      <c r="J45" s="214">
        <v>3.8349999999999991</v>
      </c>
      <c r="K45">
        <v>44.309647602541865</v>
      </c>
    </row>
    <row r="46" spans="1:11" hidden="1">
      <c r="A46" s="45">
        <v>41684</v>
      </c>
      <c r="B46" s="74">
        <v>802</v>
      </c>
      <c r="D46" s="47" t="s">
        <v>478</v>
      </c>
      <c r="E46">
        <v>3003</v>
      </c>
      <c r="F46">
        <v>1</v>
      </c>
      <c r="G46">
        <v>3.7813000000000003</v>
      </c>
      <c r="H46">
        <v>6.24</v>
      </c>
      <c r="I46">
        <v>2.4586999999999999</v>
      </c>
      <c r="J46" s="214">
        <v>2.4586999999999999</v>
      </c>
      <c r="K46">
        <v>65.022611271255911</v>
      </c>
    </row>
    <row r="47" spans="1:11" hidden="1">
      <c r="A47" s="45">
        <v>41684</v>
      </c>
      <c r="B47" s="74">
        <v>802</v>
      </c>
      <c r="D47" s="47" t="s">
        <v>478</v>
      </c>
      <c r="E47">
        <v>3003</v>
      </c>
      <c r="F47">
        <v>1</v>
      </c>
      <c r="G47">
        <v>3.7812999999999999</v>
      </c>
      <c r="H47">
        <v>8.75</v>
      </c>
      <c r="I47">
        <v>4.9687000000000001</v>
      </c>
      <c r="J47" s="214">
        <v>4.9687000000000001</v>
      </c>
      <c r="K47">
        <v>131.40189881786688</v>
      </c>
    </row>
    <row r="48" spans="1:11" hidden="1">
      <c r="A48" s="45">
        <v>41684</v>
      </c>
      <c r="B48" s="74">
        <v>802</v>
      </c>
      <c r="D48" s="47" t="s">
        <v>478</v>
      </c>
      <c r="E48" t="s">
        <v>351</v>
      </c>
      <c r="F48">
        <v>1</v>
      </c>
      <c r="G48">
        <v>0</v>
      </c>
      <c r="H48">
        <v>0.16</v>
      </c>
      <c r="I48">
        <v>0.16</v>
      </c>
      <c r="J48" s="214">
        <v>0.16</v>
      </c>
      <c r="K48" t="s">
        <v>352</v>
      </c>
    </row>
    <row r="49" spans="1:11" hidden="1">
      <c r="A49" s="45">
        <v>41688</v>
      </c>
      <c r="B49" s="74">
        <v>201</v>
      </c>
      <c r="D49" s="47" t="s">
        <v>488</v>
      </c>
      <c r="E49">
        <v>1001</v>
      </c>
      <c r="F49">
        <v>72</v>
      </c>
      <c r="G49">
        <v>0.26260000000000006</v>
      </c>
      <c r="H49">
        <v>0.55000000000000004</v>
      </c>
      <c r="I49">
        <v>0.28739999999999999</v>
      </c>
      <c r="J49" s="214">
        <v>20.692799999999998</v>
      </c>
      <c r="K49">
        <v>109.44402132520942</v>
      </c>
    </row>
    <row r="50" spans="1:11" hidden="1">
      <c r="A50" s="45">
        <v>41688</v>
      </c>
      <c r="B50" s="74">
        <v>203</v>
      </c>
      <c r="D50" s="47" t="s">
        <v>499</v>
      </c>
      <c r="E50">
        <v>1001</v>
      </c>
      <c r="F50">
        <v>72</v>
      </c>
      <c r="G50">
        <v>0.26260000000000006</v>
      </c>
      <c r="H50">
        <v>0.55000000000000004</v>
      </c>
      <c r="I50">
        <v>0.28739999999999999</v>
      </c>
      <c r="J50" s="214">
        <v>20.692799999999998</v>
      </c>
      <c r="K50">
        <v>109.44402132520942</v>
      </c>
    </row>
    <row r="51" spans="1:11" hidden="1">
      <c r="A51" s="45">
        <v>41689</v>
      </c>
      <c r="B51" s="74">
        <v>801</v>
      </c>
      <c r="D51" s="47" t="s">
        <v>513</v>
      </c>
      <c r="E51">
        <v>4009</v>
      </c>
      <c r="F51">
        <v>16</v>
      </c>
      <c r="G51">
        <v>2.9581</v>
      </c>
      <c r="H51">
        <v>3.99</v>
      </c>
      <c r="I51">
        <v>1.0319000000000003</v>
      </c>
      <c r="J51" s="214">
        <v>16.510400000000004</v>
      </c>
      <c r="K51">
        <v>34.883878165038375</v>
      </c>
    </row>
    <row r="52" spans="1:11" hidden="1">
      <c r="A52" s="45">
        <v>41689</v>
      </c>
      <c r="B52" s="74">
        <v>801</v>
      </c>
      <c r="D52" s="47" t="s">
        <v>513</v>
      </c>
      <c r="E52" t="s">
        <v>351</v>
      </c>
      <c r="F52">
        <v>1</v>
      </c>
      <c r="G52">
        <v>0</v>
      </c>
      <c r="H52">
        <v>0.03</v>
      </c>
      <c r="I52">
        <v>0.03</v>
      </c>
      <c r="J52" s="214">
        <v>0.03</v>
      </c>
      <c r="K52" t="s">
        <v>352</v>
      </c>
    </row>
    <row r="53" spans="1:11" hidden="1">
      <c r="A53" s="45">
        <v>41689</v>
      </c>
      <c r="B53" s="74">
        <v>303</v>
      </c>
      <c r="D53" s="47" t="s">
        <v>517</v>
      </c>
      <c r="E53">
        <v>1001</v>
      </c>
      <c r="F53">
        <v>72</v>
      </c>
      <c r="G53">
        <v>0.26259999999999994</v>
      </c>
      <c r="H53">
        <v>0.59</v>
      </c>
      <c r="I53">
        <v>0.32740000000000002</v>
      </c>
      <c r="J53" s="214">
        <v>23.572800000000001</v>
      </c>
      <c r="K53">
        <v>124.67631378522471</v>
      </c>
    </row>
    <row r="54" spans="1:11" hidden="1">
      <c r="A54" s="45">
        <v>41691</v>
      </c>
      <c r="B54" s="74">
        <v>52</v>
      </c>
      <c r="D54" s="47" t="s">
        <v>520</v>
      </c>
      <c r="E54">
        <v>2001</v>
      </c>
      <c r="F54">
        <v>6</v>
      </c>
      <c r="G54">
        <v>0.57996666666666663</v>
      </c>
      <c r="H54">
        <v>0.85</v>
      </c>
      <c r="I54">
        <v>0.27003333333333335</v>
      </c>
      <c r="J54" s="214">
        <v>1.6202000000000001</v>
      </c>
      <c r="K54">
        <v>46.560147134892816</v>
      </c>
    </row>
    <row r="55" spans="1:11" hidden="1">
      <c r="A55" s="45">
        <v>41691</v>
      </c>
      <c r="B55" s="74">
        <v>52</v>
      </c>
      <c r="D55" s="47" t="s">
        <v>520</v>
      </c>
      <c r="E55">
        <v>2002</v>
      </c>
      <c r="F55">
        <v>6</v>
      </c>
      <c r="G55">
        <v>0.57991666666666664</v>
      </c>
      <c r="H55">
        <v>0.85</v>
      </c>
      <c r="I55">
        <v>0.27008333333333334</v>
      </c>
      <c r="J55" s="214">
        <v>1.6205000000000001</v>
      </c>
      <c r="K55">
        <v>46.5727834458974</v>
      </c>
    </row>
    <row r="56" spans="1:11" hidden="1">
      <c r="A56" s="45">
        <v>41695</v>
      </c>
      <c r="B56" s="74">
        <v>602</v>
      </c>
      <c r="D56" s="47" t="s">
        <v>523</v>
      </c>
      <c r="E56">
        <v>2001</v>
      </c>
      <c r="F56">
        <v>36</v>
      </c>
      <c r="G56">
        <v>0.57996111111111115</v>
      </c>
      <c r="H56">
        <v>0.85000000000000009</v>
      </c>
      <c r="I56">
        <v>0.27003888888888894</v>
      </c>
      <c r="J56" s="214">
        <v>9.7214000000000027</v>
      </c>
      <c r="K56">
        <v>46.561551061852811</v>
      </c>
    </row>
    <row r="57" spans="1:11" hidden="1">
      <c r="A57" s="45">
        <v>41695</v>
      </c>
      <c r="B57" s="74">
        <v>602</v>
      </c>
      <c r="D57" s="47" t="s">
        <v>523</v>
      </c>
      <c r="E57">
        <v>2002</v>
      </c>
      <c r="F57">
        <v>36</v>
      </c>
      <c r="G57">
        <v>0.57991111111111115</v>
      </c>
      <c r="H57">
        <v>0.85000000000000009</v>
      </c>
      <c r="I57">
        <v>0.27008888888888893</v>
      </c>
      <c r="J57" s="214">
        <v>9.7232000000000021</v>
      </c>
      <c r="K57">
        <v>46.574187614960152</v>
      </c>
    </row>
    <row r="58" spans="1:11" hidden="1">
      <c r="A58" s="45">
        <v>41695</v>
      </c>
      <c r="B58" s="74">
        <v>602</v>
      </c>
      <c r="D58" s="47" t="s">
        <v>523</v>
      </c>
      <c r="E58" t="s">
        <v>351</v>
      </c>
      <c r="F58">
        <v>1</v>
      </c>
      <c r="G58">
        <v>0</v>
      </c>
      <c r="H58">
        <v>-0.03</v>
      </c>
      <c r="I58">
        <v>-0.03</v>
      </c>
      <c r="J58" s="214">
        <v>-0.03</v>
      </c>
      <c r="K58" t="s">
        <v>352</v>
      </c>
    </row>
    <row r="59" spans="1:11" hidden="1">
      <c r="A59" s="45">
        <v>41705</v>
      </c>
      <c r="B59" s="74">
        <v>801</v>
      </c>
      <c r="D59" s="47" t="s">
        <v>538</v>
      </c>
      <c r="E59">
        <v>1001</v>
      </c>
      <c r="F59">
        <v>48</v>
      </c>
      <c r="G59">
        <v>0.2626</v>
      </c>
      <c r="H59">
        <v>0.49</v>
      </c>
      <c r="I59">
        <v>0.22739999999999999</v>
      </c>
      <c r="J59" s="214">
        <v>10.915199999999999</v>
      </c>
      <c r="K59">
        <v>86.595582635186588</v>
      </c>
    </row>
    <row r="60" spans="1:11" hidden="1">
      <c r="A60" s="45">
        <v>41705</v>
      </c>
      <c r="B60" s="74">
        <v>801</v>
      </c>
      <c r="D60" s="47" t="s">
        <v>538</v>
      </c>
      <c r="E60">
        <v>2002</v>
      </c>
      <c r="F60">
        <v>36</v>
      </c>
      <c r="G60">
        <v>0.49650555555555559</v>
      </c>
      <c r="H60">
        <v>0.85000000000000009</v>
      </c>
      <c r="I60">
        <v>0.3534944444444445</v>
      </c>
      <c r="J60" s="214">
        <v>12.725800000000001</v>
      </c>
      <c r="K60">
        <v>71.196473128867311</v>
      </c>
    </row>
    <row r="61" spans="1:11" hidden="1">
      <c r="A61" s="45">
        <v>41705</v>
      </c>
      <c r="B61" s="74">
        <v>801</v>
      </c>
      <c r="D61" s="47" t="s">
        <v>538</v>
      </c>
      <c r="E61" t="s">
        <v>351</v>
      </c>
      <c r="F61">
        <v>1</v>
      </c>
      <c r="G61">
        <v>0</v>
      </c>
      <c r="H61">
        <v>0.6</v>
      </c>
      <c r="I61">
        <v>0.6</v>
      </c>
      <c r="J61" s="214">
        <v>0.6</v>
      </c>
      <c r="K61" t="s">
        <v>352</v>
      </c>
    </row>
    <row r="62" spans="1:11" hidden="1">
      <c r="A62" s="45">
        <v>41709</v>
      </c>
      <c r="B62" s="74">
        <v>301</v>
      </c>
      <c r="D62" s="47" t="s">
        <v>544</v>
      </c>
      <c r="E62">
        <v>1001</v>
      </c>
      <c r="F62">
        <v>48</v>
      </c>
      <c r="G62">
        <v>0.2626</v>
      </c>
      <c r="H62">
        <v>0.6</v>
      </c>
      <c r="I62">
        <v>0.33739999999999998</v>
      </c>
      <c r="J62" s="214">
        <v>16.1952</v>
      </c>
      <c r="K62">
        <v>128.48438690022849</v>
      </c>
    </row>
    <row r="63" spans="1:11" hidden="1">
      <c r="A63" s="45">
        <v>41709</v>
      </c>
      <c r="B63" s="74">
        <v>301</v>
      </c>
      <c r="D63" s="47" t="s">
        <v>544</v>
      </c>
      <c r="E63" t="s">
        <v>351</v>
      </c>
      <c r="F63">
        <v>1</v>
      </c>
      <c r="G63">
        <v>0</v>
      </c>
      <c r="H63">
        <v>0.03</v>
      </c>
      <c r="I63">
        <v>0.03</v>
      </c>
      <c r="J63" s="214">
        <v>0.03</v>
      </c>
      <c r="K63" t="s">
        <v>352</v>
      </c>
    </row>
    <row r="64" spans="1:11" hidden="1">
      <c r="A64" s="45">
        <v>41709</v>
      </c>
      <c r="B64" s="74">
        <v>201</v>
      </c>
      <c r="D64" s="47" t="s">
        <v>548</v>
      </c>
      <c r="E64">
        <v>1001</v>
      </c>
      <c r="F64">
        <v>96</v>
      </c>
      <c r="G64">
        <v>0.2626</v>
      </c>
      <c r="H64">
        <v>0.54999999999999993</v>
      </c>
      <c r="I64">
        <v>0.28739999999999993</v>
      </c>
      <c r="J64" s="214">
        <v>27.590399999999995</v>
      </c>
      <c r="K64">
        <v>109.44402132520942</v>
      </c>
    </row>
    <row r="65" spans="1:11" hidden="1">
      <c r="A65" s="45">
        <v>41709</v>
      </c>
      <c r="B65" s="74">
        <v>201</v>
      </c>
      <c r="D65" s="47" t="s">
        <v>548</v>
      </c>
      <c r="E65" t="s">
        <v>351</v>
      </c>
      <c r="F65">
        <v>1</v>
      </c>
      <c r="G65">
        <v>0</v>
      </c>
      <c r="H65">
        <v>0.17</v>
      </c>
      <c r="I65">
        <v>0.17</v>
      </c>
      <c r="J65" s="214">
        <v>0.17</v>
      </c>
      <c r="K65" t="s">
        <v>352</v>
      </c>
    </row>
    <row r="66" spans="1:11" hidden="1">
      <c r="A66" s="45">
        <v>41711</v>
      </c>
      <c r="B66" s="74">
        <v>212</v>
      </c>
      <c r="D66" s="47" t="s">
        <v>568</v>
      </c>
      <c r="E66">
        <v>1001</v>
      </c>
      <c r="F66">
        <v>24</v>
      </c>
      <c r="G66">
        <v>0.2626</v>
      </c>
      <c r="H66">
        <v>0.59</v>
      </c>
      <c r="I66">
        <v>0.32739999999999997</v>
      </c>
      <c r="J66" s="214">
        <v>7.8575999999999997</v>
      </c>
      <c r="K66">
        <v>124.67631378522466</v>
      </c>
    </row>
    <row r="67" spans="1:11" hidden="1">
      <c r="A67" s="45">
        <v>41716</v>
      </c>
      <c r="B67" s="74">
        <v>311</v>
      </c>
      <c r="D67" s="47" t="s">
        <v>571</v>
      </c>
      <c r="E67">
        <v>1001</v>
      </c>
      <c r="F67">
        <v>12</v>
      </c>
      <c r="G67">
        <v>0.2626</v>
      </c>
      <c r="H67">
        <v>0.59</v>
      </c>
      <c r="I67">
        <v>0.32739999999999997</v>
      </c>
      <c r="J67" s="214">
        <v>3.9287999999999998</v>
      </c>
      <c r="K67">
        <v>124.67631378522466</v>
      </c>
    </row>
    <row r="68" spans="1:11" hidden="1">
      <c r="A68" s="45">
        <v>41716</v>
      </c>
      <c r="B68" s="74">
        <v>311</v>
      </c>
      <c r="D68" s="47" t="s">
        <v>571</v>
      </c>
      <c r="E68" t="s">
        <v>351</v>
      </c>
      <c r="F68">
        <v>1</v>
      </c>
      <c r="G68">
        <v>0</v>
      </c>
      <c r="H68">
        <v>7.0000000000000007E-2</v>
      </c>
      <c r="I68">
        <v>7.0000000000000007E-2</v>
      </c>
      <c r="J68" s="214">
        <v>7.0000000000000007E-2</v>
      </c>
      <c r="K68" t="s">
        <v>352</v>
      </c>
    </row>
    <row r="69" spans="1:11" hidden="1">
      <c r="A69" s="45">
        <v>41716</v>
      </c>
      <c r="B69" s="74">
        <v>51</v>
      </c>
      <c r="D69" s="47" t="s">
        <v>575</v>
      </c>
      <c r="E69">
        <v>1001</v>
      </c>
      <c r="F69">
        <v>48</v>
      </c>
      <c r="G69">
        <v>0.2626</v>
      </c>
      <c r="H69">
        <v>0.54999999999999993</v>
      </c>
      <c r="I69">
        <v>0.28739999999999993</v>
      </c>
      <c r="J69" s="214">
        <v>13.795199999999998</v>
      </c>
      <c r="K69">
        <v>109.44402132520942</v>
      </c>
    </row>
    <row r="70" spans="1:11" hidden="1">
      <c r="A70" s="45">
        <v>41716</v>
      </c>
      <c r="B70" s="74">
        <v>211</v>
      </c>
      <c r="D70" s="47" t="s">
        <v>577</v>
      </c>
      <c r="E70">
        <v>1001</v>
      </c>
      <c r="F70">
        <v>96</v>
      </c>
      <c r="G70">
        <v>0.2626</v>
      </c>
      <c r="H70">
        <v>0.54999999999999993</v>
      </c>
      <c r="I70">
        <v>0.28739999999999993</v>
      </c>
      <c r="J70" s="214">
        <v>27.590399999999995</v>
      </c>
      <c r="K70">
        <v>109.44402132520942</v>
      </c>
    </row>
    <row r="71" spans="1:11" hidden="1">
      <c r="A71" s="45">
        <v>41716</v>
      </c>
      <c r="B71" s="74">
        <v>211</v>
      </c>
      <c r="D71" s="47" t="s">
        <v>577</v>
      </c>
      <c r="E71" t="s">
        <v>351</v>
      </c>
      <c r="F71">
        <v>1</v>
      </c>
      <c r="G71">
        <v>0</v>
      </c>
      <c r="H71">
        <v>0.17</v>
      </c>
      <c r="I71">
        <v>0.17</v>
      </c>
      <c r="J71" s="214">
        <v>0.17</v>
      </c>
      <c r="K71" t="s">
        <v>352</v>
      </c>
    </row>
    <row r="72" spans="1:11" hidden="1">
      <c r="A72" s="45">
        <v>41724</v>
      </c>
      <c r="B72" s="74">
        <v>302</v>
      </c>
      <c r="D72" s="47" t="s">
        <v>580</v>
      </c>
      <c r="E72">
        <v>1001</v>
      </c>
      <c r="F72">
        <v>24</v>
      </c>
      <c r="G72">
        <v>0.2626</v>
      </c>
      <c r="H72">
        <v>0.54999999999999993</v>
      </c>
      <c r="I72">
        <v>0.28739999999999993</v>
      </c>
      <c r="J72" s="214">
        <v>6.8975999999999988</v>
      </c>
      <c r="K72">
        <v>109.44402132520942</v>
      </c>
    </row>
    <row r="73" spans="1:11" hidden="1">
      <c r="A73" s="45">
        <v>41724</v>
      </c>
      <c r="B73" s="74">
        <v>302</v>
      </c>
      <c r="D73" s="47" t="s">
        <v>580</v>
      </c>
      <c r="E73" t="s">
        <v>351</v>
      </c>
      <c r="F73">
        <v>1</v>
      </c>
      <c r="G73">
        <v>0</v>
      </c>
      <c r="H73">
        <v>0.28999999999999998</v>
      </c>
      <c r="I73">
        <v>0.28999999999999998</v>
      </c>
      <c r="J73" s="214">
        <v>0.28999999999999998</v>
      </c>
      <c r="K73" t="s">
        <v>352</v>
      </c>
    </row>
    <row r="74" spans="1:11" hidden="1">
      <c r="A74" s="45">
        <v>41726</v>
      </c>
      <c r="B74" s="74">
        <v>212</v>
      </c>
      <c r="D74" s="47" t="s">
        <v>592</v>
      </c>
      <c r="E74">
        <v>1001</v>
      </c>
      <c r="F74">
        <v>48</v>
      </c>
      <c r="G74">
        <v>0.2626</v>
      </c>
      <c r="H74">
        <v>0.59</v>
      </c>
      <c r="I74">
        <v>0.32739999999999997</v>
      </c>
      <c r="J74" s="214">
        <v>15.715199999999999</v>
      </c>
      <c r="K74">
        <v>124.67631378522466</v>
      </c>
    </row>
    <row r="75" spans="1:11" hidden="1">
      <c r="A75" s="45">
        <v>41726</v>
      </c>
      <c r="B75" s="74">
        <v>212</v>
      </c>
      <c r="D75" s="47" t="s">
        <v>592</v>
      </c>
      <c r="E75" t="s">
        <v>351</v>
      </c>
      <c r="F75">
        <v>1</v>
      </c>
      <c r="G75">
        <v>0</v>
      </c>
      <c r="H75">
        <v>0.3</v>
      </c>
      <c r="I75">
        <v>0.3</v>
      </c>
      <c r="J75" s="214">
        <v>0.3</v>
      </c>
      <c r="K75" t="s">
        <v>352</v>
      </c>
    </row>
    <row r="76" spans="1:11" hidden="1">
      <c r="A76" s="45">
        <v>41729</v>
      </c>
      <c r="B76" s="74">
        <v>250</v>
      </c>
      <c r="D76" s="47" t="s">
        <v>601</v>
      </c>
      <c r="E76">
        <v>1001</v>
      </c>
      <c r="F76">
        <v>24</v>
      </c>
      <c r="G76">
        <v>0.2626</v>
      </c>
      <c r="H76">
        <v>0.65</v>
      </c>
      <c r="I76">
        <v>0.38740000000000002</v>
      </c>
      <c r="J76" s="214">
        <v>9.297600000000001</v>
      </c>
      <c r="K76">
        <v>147.52475247524754</v>
      </c>
    </row>
    <row r="77" spans="1:11" hidden="1">
      <c r="A77" s="45">
        <v>41729</v>
      </c>
      <c r="B77" s="74">
        <v>250</v>
      </c>
      <c r="D77" s="47" t="s">
        <v>601</v>
      </c>
      <c r="E77" t="s">
        <v>351</v>
      </c>
      <c r="F77">
        <v>1</v>
      </c>
      <c r="G77">
        <v>0</v>
      </c>
      <c r="H77">
        <v>0.04</v>
      </c>
      <c r="I77">
        <v>0.04</v>
      </c>
      <c r="J77" s="214">
        <v>0.04</v>
      </c>
      <c r="K77" t="s">
        <v>352</v>
      </c>
    </row>
    <row r="78" spans="1:11" hidden="1">
      <c r="A78" s="45">
        <v>41729</v>
      </c>
      <c r="B78" s="74">
        <v>502</v>
      </c>
      <c r="D78" s="47" t="s">
        <v>607</v>
      </c>
      <c r="E78">
        <v>2001</v>
      </c>
      <c r="F78">
        <v>36</v>
      </c>
      <c r="G78">
        <v>0.50885000000000014</v>
      </c>
      <c r="H78">
        <v>0.85000000000000009</v>
      </c>
      <c r="I78">
        <v>0.34114999999999995</v>
      </c>
      <c r="J78" s="214">
        <v>12.281399999999998</v>
      </c>
      <c r="K78">
        <v>67.043333005797365</v>
      </c>
    </row>
    <row r="79" spans="1:11" hidden="1">
      <c r="A79" s="45">
        <v>41729</v>
      </c>
      <c r="B79" s="74">
        <v>502</v>
      </c>
      <c r="D79" s="47" t="s">
        <v>607</v>
      </c>
      <c r="E79" t="s">
        <v>351</v>
      </c>
      <c r="F79">
        <v>1</v>
      </c>
      <c r="G79">
        <v>0</v>
      </c>
      <c r="H79">
        <v>0.59</v>
      </c>
      <c r="I79">
        <v>0.59</v>
      </c>
      <c r="J79" s="214">
        <v>0.59</v>
      </c>
      <c r="K79" t="s">
        <v>352</v>
      </c>
    </row>
    <row r="80" spans="1:11" hidden="1">
      <c r="A80" s="45">
        <v>41729</v>
      </c>
      <c r="B80" s="74">
        <v>504</v>
      </c>
      <c r="D80" s="47" t="s">
        <v>617</v>
      </c>
      <c r="E80">
        <v>1001</v>
      </c>
      <c r="F80">
        <v>24</v>
      </c>
      <c r="G80">
        <v>0.2626</v>
      </c>
      <c r="H80">
        <v>0.6</v>
      </c>
      <c r="I80">
        <v>0.33739999999999998</v>
      </c>
      <c r="J80" s="214">
        <v>8.0975999999999999</v>
      </c>
      <c r="K80">
        <v>128.48438690022849</v>
      </c>
    </row>
    <row r="81" spans="1:11" hidden="1">
      <c r="A81" s="45">
        <v>41729</v>
      </c>
      <c r="B81" s="74">
        <v>504</v>
      </c>
      <c r="D81" s="47" t="s">
        <v>617</v>
      </c>
      <c r="E81" t="s">
        <v>351</v>
      </c>
      <c r="F81">
        <v>1</v>
      </c>
      <c r="G81">
        <v>0</v>
      </c>
      <c r="H81">
        <v>1.86</v>
      </c>
      <c r="I81">
        <v>1.86</v>
      </c>
      <c r="J81" s="214">
        <v>1.86</v>
      </c>
      <c r="K81" t="s">
        <v>352</v>
      </c>
    </row>
    <row r="82" spans="1:11" hidden="1">
      <c r="A82" s="45">
        <v>41729</v>
      </c>
      <c r="B82" s="74">
        <v>801</v>
      </c>
      <c r="D82" s="47" t="s">
        <v>626</v>
      </c>
      <c r="E82">
        <v>1001</v>
      </c>
      <c r="F82">
        <v>24</v>
      </c>
      <c r="G82">
        <v>0.2626</v>
      </c>
      <c r="H82">
        <v>0.54999999999999993</v>
      </c>
      <c r="I82">
        <v>0.28739999999999993</v>
      </c>
      <c r="J82" s="214">
        <v>6.8975999999999988</v>
      </c>
      <c r="K82">
        <v>109.44402132520942</v>
      </c>
    </row>
    <row r="83" spans="1:11" hidden="1">
      <c r="A83" s="45">
        <v>41729</v>
      </c>
      <c r="B83" s="74">
        <v>801</v>
      </c>
      <c r="D83" s="47" t="s">
        <v>626</v>
      </c>
      <c r="E83" t="s">
        <v>351</v>
      </c>
      <c r="F83">
        <v>1</v>
      </c>
      <c r="G83">
        <v>0</v>
      </c>
      <c r="H83">
        <v>-0.01</v>
      </c>
      <c r="I83">
        <v>-0.01</v>
      </c>
      <c r="J83" s="214">
        <v>-0.01</v>
      </c>
      <c r="K83" t="s">
        <v>352</v>
      </c>
    </row>
    <row r="84" spans="1:11" hidden="1">
      <c r="A84" s="45">
        <v>41729</v>
      </c>
      <c r="B84" s="74">
        <v>304</v>
      </c>
      <c r="D84" s="47" t="s">
        <v>636</v>
      </c>
      <c r="E84">
        <v>1001</v>
      </c>
      <c r="F84">
        <v>24</v>
      </c>
      <c r="G84">
        <v>0.2626</v>
      </c>
      <c r="H84">
        <v>0.65</v>
      </c>
      <c r="I84">
        <v>0.38740000000000002</v>
      </c>
      <c r="J84" s="214">
        <v>9.297600000000001</v>
      </c>
      <c r="K84">
        <v>147.52475247524754</v>
      </c>
    </row>
    <row r="85" spans="1:11" hidden="1">
      <c r="A85" s="45">
        <v>41729</v>
      </c>
      <c r="B85" s="74">
        <v>304</v>
      </c>
      <c r="D85" s="47" t="s">
        <v>636</v>
      </c>
      <c r="E85" t="s">
        <v>351</v>
      </c>
      <c r="F85">
        <v>1</v>
      </c>
      <c r="G85">
        <v>0</v>
      </c>
      <c r="H85">
        <v>0.41</v>
      </c>
      <c r="I85">
        <v>0.41</v>
      </c>
      <c r="J85" s="214">
        <v>0.41</v>
      </c>
      <c r="K85" t="s">
        <v>352</v>
      </c>
    </row>
    <row r="86" spans="1:11" hidden="1">
      <c r="A86" s="45">
        <v>41729</v>
      </c>
      <c r="B86" s="74">
        <v>501</v>
      </c>
      <c r="D86" s="47" t="s">
        <v>641</v>
      </c>
      <c r="E86">
        <v>1001</v>
      </c>
      <c r="F86">
        <v>24</v>
      </c>
      <c r="G86">
        <v>0.2626</v>
      </c>
      <c r="H86">
        <v>0.59</v>
      </c>
      <c r="I86">
        <v>0.32739999999999997</v>
      </c>
      <c r="J86" s="214">
        <v>7.8575999999999997</v>
      </c>
      <c r="K86">
        <v>124.67631378522466</v>
      </c>
    </row>
    <row r="87" spans="1:11" hidden="1">
      <c r="A87" s="45">
        <v>41729</v>
      </c>
      <c r="B87" s="74">
        <v>501</v>
      </c>
      <c r="D87" s="47" t="s">
        <v>641</v>
      </c>
      <c r="E87" t="s">
        <v>351</v>
      </c>
      <c r="F87">
        <v>1</v>
      </c>
      <c r="G87">
        <v>0</v>
      </c>
      <c r="H87">
        <v>0.15</v>
      </c>
      <c r="I87">
        <v>0.15</v>
      </c>
      <c r="J87" s="214">
        <v>0.15</v>
      </c>
      <c r="K87" t="s">
        <v>352</v>
      </c>
    </row>
    <row r="88" spans="1:11" hidden="1">
      <c r="A88" s="45">
        <v>41731</v>
      </c>
      <c r="B88" s="74">
        <v>211</v>
      </c>
      <c r="D88" s="47" t="s">
        <v>647</v>
      </c>
      <c r="E88">
        <v>1001</v>
      </c>
      <c r="F88">
        <v>48</v>
      </c>
      <c r="G88">
        <v>0.2626</v>
      </c>
      <c r="H88">
        <v>0.54999999999999993</v>
      </c>
      <c r="I88">
        <v>0.28739999999999993</v>
      </c>
      <c r="J88" s="214">
        <v>13.795199999999998</v>
      </c>
      <c r="K88">
        <v>109.44402132520942</v>
      </c>
    </row>
    <row r="89" spans="1:11" hidden="1">
      <c r="A89" s="45">
        <v>41731</v>
      </c>
      <c r="B89" s="74">
        <v>211</v>
      </c>
      <c r="D89" s="47" t="s">
        <v>647</v>
      </c>
      <c r="E89" t="s">
        <v>351</v>
      </c>
      <c r="F89">
        <v>1</v>
      </c>
      <c r="G89">
        <v>0</v>
      </c>
      <c r="H89">
        <v>0.57999999999999996</v>
      </c>
      <c r="I89">
        <v>0.57999999999999996</v>
      </c>
      <c r="J89" s="214">
        <v>0.57999999999999996</v>
      </c>
      <c r="K89" t="s">
        <v>352</v>
      </c>
    </row>
    <row r="90" spans="1:11" hidden="1">
      <c r="A90" s="45">
        <v>41753</v>
      </c>
      <c r="B90" s="74">
        <v>801</v>
      </c>
      <c r="D90" s="47" t="s">
        <v>654</v>
      </c>
      <c r="E90">
        <v>4010</v>
      </c>
      <c r="F90">
        <v>16</v>
      </c>
      <c r="G90">
        <v>3.6687999999999996</v>
      </c>
      <c r="H90">
        <v>4.3899999999999997</v>
      </c>
      <c r="I90">
        <v>0.72120000000000006</v>
      </c>
      <c r="J90" s="214">
        <v>11.539200000000001</v>
      </c>
      <c r="K90">
        <v>19.657653728739646</v>
      </c>
    </row>
    <row r="91" spans="1:11" hidden="1">
      <c r="A91" s="45">
        <v>41753</v>
      </c>
      <c r="B91" s="74">
        <v>801</v>
      </c>
      <c r="D91" s="47" t="s">
        <v>654</v>
      </c>
      <c r="E91" t="s">
        <v>351</v>
      </c>
      <c r="F91">
        <v>1</v>
      </c>
      <c r="G91">
        <v>0</v>
      </c>
      <c r="H91">
        <v>0.01</v>
      </c>
      <c r="I91">
        <v>0.01</v>
      </c>
      <c r="J91" s="214">
        <v>0.01</v>
      </c>
      <c r="K91" t="s">
        <v>352</v>
      </c>
    </row>
    <row r="92" spans="1:11" hidden="1">
      <c r="A92" s="45">
        <v>41754</v>
      </c>
      <c r="B92" s="74">
        <v>312</v>
      </c>
      <c r="D92" s="47" t="s">
        <v>662</v>
      </c>
      <c r="E92">
        <v>1001</v>
      </c>
      <c r="F92">
        <v>24</v>
      </c>
      <c r="G92">
        <v>0.2626</v>
      </c>
      <c r="H92">
        <v>0.6</v>
      </c>
      <c r="I92">
        <v>0.33739999999999998</v>
      </c>
      <c r="J92" s="214">
        <v>8.0975999999999999</v>
      </c>
      <c r="K92">
        <v>128.48438690022849</v>
      </c>
    </row>
    <row r="93" spans="1:11" hidden="1">
      <c r="A93" s="45">
        <v>41754</v>
      </c>
      <c r="B93" s="74">
        <v>211</v>
      </c>
      <c r="D93" s="47" t="s">
        <v>665</v>
      </c>
      <c r="E93">
        <v>1001</v>
      </c>
      <c r="F93">
        <v>24</v>
      </c>
      <c r="G93">
        <v>0.2626</v>
      </c>
      <c r="H93">
        <v>0.54999999999999993</v>
      </c>
      <c r="I93">
        <v>0.28739999999999993</v>
      </c>
      <c r="J93" s="214">
        <v>6.8975999999999988</v>
      </c>
      <c r="K93">
        <v>109.44402132520942</v>
      </c>
    </row>
    <row r="94" spans="1:11" hidden="1">
      <c r="A94" s="45">
        <v>41800</v>
      </c>
      <c r="B94" s="74">
        <v>51</v>
      </c>
      <c r="D94" s="47" t="s">
        <v>671</v>
      </c>
      <c r="E94">
        <v>1001</v>
      </c>
      <c r="F94">
        <v>24</v>
      </c>
      <c r="G94">
        <v>0.2626</v>
      </c>
      <c r="H94">
        <v>0.54999999999999993</v>
      </c>
      <c r="I94">
        <v>0.28739999999999993</v>
      </c>
      <c r="J94" s="214">
        <v>6.8975999999999988</v>
      </c>
      <c r="K94">
        <v>109.44402132520942</v>
      </c>
    </row>
    <row r="95" spans="1:11" hidden="1">
      <c r="A95" s="45">
        <v>41803</v>
      </c>
      <c r="B95" s="74">
        <v>801</v>
      </c>
      <c r="D95" s="47" t="s">
        <v>674</v>
      </c>
      <c r="E95">
        <v>2001</v>
      </c>
      <c r="F95">
        <v>108</v>
      </c>
      <c r="G95">
        <v>0.50885092592592596</v>
      </c>
      <c r="H95">
        <v>0.75</v>
      </c>
      <c r="I95">
        <v>0.24114907407407404</v>
      </c>
      <c r="J95" s="214">
        <v>26.044099999999997</v>
      </c>
      <c r="K95">
        <v>47.390907982582391</v>
      </c>
    </row>
    <row r="96" spans="1:11" hidden="1">
      <c r="A96" s="45">
        <v>41803</v>
      </c>
      <c r="B96" s="74">
        <v>801</v>
      </c>
      <c r="D96" s="47" t="s">
        <v>674</v>
      </c>
      <c r="E96">
        <v>2002</v>
      </c>
      <c r="F96">
        <v>108</v>
      </c>
      <c r="G96">
        <v>0.49650462962962966</v>
      </c>
      <c r="H96">
        <v>0.75</v>
      </c>
      <c r="I96">
        <v>0.25349537037037034</v>
      </c>
      <c r="J96" s="214">
        <v>27.377499999999998</v>
      </c>
      <c r="K96">
        <v>51.055993286400287</v>
      </c>
    </row>
    <row r="97" spans="1:11" hidden="1">
      <c r="A97" s="45">
        <v>41803</v>
      </c>
      <c r="B97" s="74">
        <v>801</v>
      </c>
      <c r="D97" s="47" t="s">
        <v>674</v>
      </c>
      <c r="E97">
        <v>2003</v>
      </c>
      <c r="F97">
        <v>1</v>
      </c>
      <c r="G97">
        <v>0.45389999999999997</v>
      </c>
      <c r="H97">
        <v>1</v>
      </c>
      <c r="I97">
        <v>0.54610000000000003</v>
      </c>
      <c r="J97" s="214">
        <v>0.54610000000000003</v>
      </c>
      <c r="K97">
        <v>120.31284423881914</v>
      </c>
    </row>
    <row r="98" spans="1:11" hidden="1">
      <c r="A98" s="45">
        <v>41803</v>
      </c>
      <c r="B98" s="74">
        <v>802</v>
      </c>
      <c r="D98" s="47" t="s">
        <v>677</v>
      </c>
      <c r="E98">
        <v>2001</v>
      </c>
      <c r="F98">
        <v>108</v>
      </c>
      <c r="G98">
        <v>0.50885092592592596</v>
      </c>
      <c r="H98">
        <v>0.69</v>
      </c>
      <c r="I98">
        <v>0.18114907407407399</v>
      </c>
      <c r="J98" s="214">
        <v>19.564099999999989</v>
      </c>
      <c r="K98">
        <v>35.599635343975784</v>
      </c>
    </row>
    <row r="99" spans="1:11" hidden="1">
      <c r="A99" s="45">
        <v>41804</v>
      </c>
      <c r="B99" s="74">
        <v>801</v>
      </c>
      <c r="D99" s="47" t="s">
        <v>679</v>
      </c>
      <c r="E99">
        <v>3003</v>
      </c>
      <c r="F99">
        <v>1</v>
      </c>
      <c r="G99">
        <v>3.7812999999999999</v>
      </c>
      <c r="H99">
        <v>2</v>
      </c>
      <c r="I99">
        <v>-1.7812999999999999</v>
      </c>
      <c r="J99" s="214">
        <v>-1.7812999999999999</v>
      </c>
      <c r="K99">
        <v>-47.108137413058998</v>
      </c>
    </row>
    <row r="100" spans="1:11" hidden="1">
      <c r="A100" s="45">
        <v>41804</v>
      </c>
      <c r="B100" s="74">
        <v>801</v>
      </c>
      <c r="D100" s="47" t="s">
        <v>679</v>
      </c>
      <c r="E100">
        <v>3007</v>
      </c>
      <c r="F100">
        <v>1</v>
      </c>
      <c r="G100">
        <v>16.806699999999999</v>
      </c>
      <c r="H100">
        <v>15</v>
      </c>
      <c r="I100">
        <v>-1.8066999999999993</v>
      </c>
      <c r="J100" s="214">
        <v>-1.8066999999999993</v>
      </c>
      <c r="K100">
        <v>-10.749879512337339</v>
      </c>
    </row>
    <row r="101" spans="1:11" hidden="1">
      <c r="A101" s="45">
        <v>41815</v>
      </c>
      <c r="B101" s="74">
        <v>304</v>
      </c>
      <c r="D101" s="47" t="s">
        <v>694</v>
      </c>
      <c r="E101">
        <v>1001</v>
      </c>
      <c r="F101">
        <v>192</v>
      </c>
      <c r="G101">
        <v>0.24510000000000001</v>
      </c>
      <c r="H101">
        <v>0.57999999999999996</v>
      </c>
      <c r="I101">
        <v>0.33489999999999998</v>
      </c>
      <c r="J101" s="214">
        <v>64.300799999999995</v>
      </c>
      <c r="K101">
        <v>136.6381068951448</v>
      </c>
    </row>
    <row r="102" spans="1:11" hidden="1">
      <c r="A102" s="45">
        <v>41815</v>
      </c>
      <c r="B102" s="74">
        <v>304</v>
      </c>
      <c r="D102" s="47" t="s">
        <v>694</v>
      </c>
      <c r="E102" t="s">
        <v>351</v>
      </c>
      <c r="F102">
        <v>1</v>
      </c>
      <c r="G102">
        <v>0</v>
      </c>
      <c r="H102">
        <v>-2.52</v>
      </c>
      <c r="I102">
        <v>-2.52</v>
      </c>
      <c r="J102" s="214">
        <v>-2.52</v>
      </c>
      <c r="K102" t="s">
        <v>352</v>
      </c>
    </row>
    <row r="103" spans="1:11" hidden="1">
      <c r="A103" s="45">
        <v>41815</v>
      </c>
      <c r="B103" s="74">
        <v>250</v>
      </c>
      <c r="D103" s="47" t="s">
        <v>696</v>
      </c>
      <c r="E103">
        <v>1001</v>
      </c>
      <c r="F103">
        <v>96</v>
      </c>
      <c r="G103">
        <v>0.24510000000000001</v>
      </c>
      <c r="H103">
        <v>0.59</v>
      </c>
      <c r="I103">
        <v>0.34489999999999998</v>
      </c>
      <c r="J103" s="214">
        <v>33.110399999999998</v>
      </c>
      <c r="K103">
        <v>140.71807425540592</v>
      </c>
    </row>
    <row r="104" spans="1:11" hidden="1">
      <c r="A104" s="45">
        <v>41815</v>
      </c>
      <c r="B104" s="74">
        <v>250</v>
      </c>
      <c r="D104" s="47" t="s">
        <v>696</v>
      </c>
      <c r="E104" t="s">
        <v>351</v>
      </c>
      <c r="F104">
        <v>1</v>
      </c>
      <c r="G104">
        <v>0</v>
      </c>
      <c r="H104">
        <v>0.1</v>
      </c>
      <c r="I104">
        <v>0.1</v>
      </c>
      <c r="J104" s="214">
        <v>0.1</v>
      </c>
      <c r="K104" t="s">
        <v>352</v>
      </c>
    </row>
    <row r="105" spans="1:11" hidden="1">
      <c r="A105" s="45">
        <v>41815</v>
      </c>
      <c r="B105" s="74">
        <v>211</v>
      </c>
      <c r="D105" s="47" t="s">
        <v>698</v>
      </c>
      <c r="E105">
        <v>1001</v>
      </c>
      <c r="F105">
        <v>96</v>
      </c>
      <c r="G105">
        <v>0.24509999999999998</v>
      </c>
      <c r="H105">
        <v>0.49</v>
      </c>
      <c r="I105">
        <v>0.24490000000000001</v>
      </c>
      <c r="J105" s="214">
        <v>23.510400000000001</v>
      </c>
      <c r="K105">
        <v>99.918400652794787</v>
      </c>
    </row>
    <row r="106" spans="1:11" hidden="1">
      <c r="A106" s="45">
        <v>41815</v>
      </c>
      <c r="B106" s="74">
        <v>211</v>
      </c>
      <c r="D106" s="47" t="s">
        <v>698</v>
      </c>
      <c r="E106" t="s">
        <v>351</v>
      </c>
      <c r="F106">
        <v>1</v>
      </c>
      <c r="G106">
        <v>0</v>
      </c>
      <c r="H106">
        <v>0.02</v>
      </c>
      <c r="I106">
        <v>0.02</v>
      </c>
      <c r="J106" s="214">
        <v>0.02</v>
      </c>
      <c r="K106" t="s">
        <v>352</v>
      </c>
    </row>
    <row r="107" spans="1:11" hidden="1">
      <c r="A107" s="45">
        <v>41815</v>
      </c>
      <c r="B107" s="74">
        <v>303</v>
      </c>
      <c r="D107" s="47" t="s">
        <v>700</v>
      </c>
      <c r="E107">
        <v>1001</v>
      </c>
      <c r="F107">
        <v>120</v>
      </c>
      <c r="G107">
        <v>0.24509999999999998</v>
      </c>
      <c r="H107">
        <v>0.59</v>
      </c>
      <c r="I107">
        <v>0.34489999999999998</v>
      </c>
      <c r="J107" s="214">
        <v>41.387999999999998</v>
      </c>
      <c r="K107">
        <v>140.71807425540595</v>
      </c>
    </row>
    <row r="108" spans="1:11" hidden="1">
      <c r="A108" s="45">
        <v>41815</v>
      </c>
      <c r="B108" s="74">
        <v>301</v>
      </c>
      <c r="D108" s="47" t="s">
        <v>703</v>
      </c>
      <c r="E108">
        <v>1001</v>
      </c>
      <c r="F108">
        <v>96</v>
      </c>
      <c r="G108">
        <v>0.24510000000000001</v>
      </c>
      <c r="H108">
        <v>0.59</v>
      </c>
      <c r="I108">
        <v>0.34489999999999998</v>
      </c>
      <c r="J108" s="214">
        <v>33.110399999999998</v>
      </c>
      <c r="K108">
        <v>140.71807425540592</v>
      </c>
    </row>
    <row r="109" spans="1:11" hidden="1">
      <c r="A109" s="45">
        <v>41815</v>
      </c>
      <c r="B109" s="74">
        <v>801</v>
      </c>
      <c r="D109" s="47" t="s">
        <v>705</v>
      </c>
      <c r="E109">
        <v>1001</v>
      </c>
      <c r="F109">
        <v>192</v>
      </c>
      <c r="G109">
        <v>0.24509999999999998</v>
      </c>
      <c r="H109">
        <v>0.49</v>
      </c>
      <c r="I109">
        <v>0.24490000000000001</v>
      </c>
      <c r="J109" s="214">
        <v>47.020800000000001</v>
      </c>
      <c r="K109">
        <v>99.918400652794787</v>
      </c>
    </row>
    <row r="110" spans="1:11" hidden="1">
      <c r="A110" s="45">
        <v>41815</v>
      </c>
      <c r="B110" s="74">
        <v>801</v>
      </c>
      <c r="D110" s="47" t="s">
        <v>705</v>
      </c>
      <c r="E110" t="s">
        <v>351</v>
      </c>
      <c r="F110">
        <v>1</v>
      </c>
      <c r="G110">
        <v>0</v>
      </c>
      <c r="H110">
        <v>0.04</v>
      </c>
      <c r="I110">
        <v>0.04</v>
      </c>
      <c r="J110" s="214">
        <v>0.04</v>
      </c>
      <c r="K110" t="s">
        <v>352</v>
      </c>
    </row>
    <row r="111" spans="1:11" hidden="1">
      <c r="A111" s="45">
        <v>41815</v>
      </c>
      <c r="B111" s="74">
        <v>202</v>
      </c>
      <c r="D111" s="47" t="s">
        <v>708</v>
      </c>
      <c r="E111">
        <v>1001</v>
      </c>
      <c r="F111">
        <v>48</v>
      </c>
      <c r="G111">
        <v>0.24509999999999998</v>
      </c>
      <c r="H111">
        <v>0.49</v>
      </c>
      <c r="I111">
        <v>0.24490000000000001</v>
      </c>
      <c r="J111" s="214">
        <v>11.7552</v>
      </c>
      <c r="K111">
        <v>99.918400652794787</v>
      </c>
    </row>
    <row r="112" spans="1:11" hidden="1">
      <c r="A112" s="45">
        <v>41815</v>
      </c>
      <c r="B112" s="74">
        <v>202</v>
      </c>
      <c r="D112" s="47" t="s">
        <v>708</v>
      </c>
      <c r="E112" t="s">
        <v>351</v>
      </c>
      <c r="F112">
        <v>1</v>
      </c>
      <c r="G112">
        <v>0</v>
      </c>
      <c r="H112">
        <v>0.01</v>
      </c>
      <c r="I112">
        <v>0.01</v>
      </c>
      <c r="J112" s="214">
        <v>0.01</v>
      </c>
      <c r="K112" t="s">
        <v>352</v>
      </c>
    </row>
    <row r="113" spans="1:11" hidden="1">
      <c r="A113" s="45">
        <v>41816</v>
      </c>
      <c r="B113" s="74">
        <v>201</v>
      </c>
      <c r="D113" s="47" t="s">
        <v>712</v>
      </c>
      <c r="E113">
        <v>1001</v>
      </c>
      <c r="F113">
        <v>192</v>
      </c>
      <c r="G113">
        <v>0.24509999999999998</v>
      </c>
      <c r="H113">
        <v>0.54999999999999993</v>
      </c>
      <c r="I113">
        <v>0.30489999999999995</v>
      </c>
      <c r="J113" s="214">
        <v>58.54079999999999</v>
      </c>
      <c r="K113">
        <v>124.39820481436148</v>
      </c>
    </row>
    <row r="114" spans="1:11" hidden="1">
      <c r="A114" s="45">
        <v>41816</v>
      </c>
      <c r="B114" s="74">
        <v>212</v>
      </c>
      <c r="D114" s="47" t="s">
        <v>714</v>
      </c>
      <c r="E114">
        <v>1001</v>
      </c>
      <c r="F114">
        <v>192</v>
      </c>
      <c r="G114">
        <v>0.24509999999999998</v>
      </c>
      <c r="H114">
        <v>0.54999999999999993</v>
      </c>
      <c r="I114">
        <v>0.30489999999999995</v>
      </c>
      <c r="J114" s="214">
        <v>58.54079999999999</v>
      </c>
      <c r="K114">
        <v>124.39820481436148</v>
      </c>
    </row>
    <row r="115" spans="1:11" hidden="1">
      <c r="A115" s="45">
        <v>41816</v>
      </c>
      <c r="B115" s="74">
        <v>212</v>
      </c>
      <c r="D115" s="47" t="s">
        <v>714</v>
      </c>
      <c r="E115" t="s">
        <v>351</v>
      </c>
      <c r="F115">
        <v>1</v>
      </c>
      <c r="G115">
        <v>0</v>
      </c>
      <c r="H115">
        <v>-0.66</v>
      </c>
      <c r="I115">
        <v>-0.66</v>
      </c>
      <c r="J115" s="214">
        <v>-0.66</v>
      </c>
      <c r="K115" t="s">
        <v>352</v>
      </c>
    </row>
    <row r="116" spans="1:11" hidden="1">
      <c r="A116" s="45">
        <v>41820</v>
      </c>
      <c r="B116" s="74">
        <v>311</v>
      </c>
      <c r="D116" s="47" t="s">
        <v>717</v>
      </c>
      <c r="E116">
        <v>1001</v>
      </c>
      <c r="F116">
        <v>96</v>
      </c>
      <c r="G116">
        <v>0.24509999999999998</v>
      </c>
      <c r="H116">
        <v>0.54999999999999993</v>
      </c>
      <c r="I116">
        <v>0.30489999999999995</v>
      </c>
      <c r="J116" s="214">
        <v>29.270399999999995</v>
      </c>
      <c r="K116">
        <v>124.39820481436148</v>
      </c>
    </row>
    <row r="117" spans="1:11" hidden="1">
      <c r="A117" s="45">
        <v>41820</v>
      </c>
      <c r="B117" s="74">
        <v>311</v>
      </c>
      <c r="D117" s="47" t="s">
        <v>717</v>
      </c>
      <c r="E117" t="s">
        <v>351</v>
      </c>
      <c r="F117">
        <v>1</v>
      </c>
      <c r="G117">
        <v>0</v>
      </c>
      <c r="H117">
        <v>0.17</v>
      </c>
      <c r="I117">
        <v>0.17</v>
      </c>
      <c r="J117" s="214">
        <v>0.17</v>
      </c>
      <c r="K117" t="s">
        <v>352</v>
      </c>
    </row>
    <row r="118" spans="1:11" hidden="1">
      <c r="A118" s="45">
        <v>41820</v>
      </c>
      <c r="B118" s="74">
        <v>411</v>
      </c>
      <c r="D118" s="47" t="s">
        <v>719</v>
      </c>
      <c r="E118">
        <v>1001</v>
      </c>
      <c r="F118">
        <v>48</v>
      </c>
      <c r="G118">
        <v>0.24510000000000001</v>
      </c>
      <c r="H118">
        <v>0.54</v>
      </c>
      <c r="I118">
        <v>0.29490000000000005</v>
      </c>
      <c r="J118" s="214">
        <v>14.155200000000001</v>
      </c>
      <c r="K118">
        <v>120.31823745410037</v>
      </c>
    </row>
    <row r="119" spans="1:11" hidden="1">
      <c r="A119" s="45">
        <v>41820</v>
      </c>
      <c r="B119" s="74">
        <v>411</v>
      </c>
      <c r="D119" s="47" t="s">
        <v>719</v>
      </c>
      <c r="E119" t="s">
        <v>351</v>
      </c>
      <c r="F119">
        <v>1</v>
      </c>
      <c r="G119">
        <v>0</v>
      </c>
      <c r="H119">
        <v>-0.02</v>
      </c>
      <c r="I119">
        <v>-0.02</v>
      </c>
      <c r="J119" s="214">
        <v>-0.02</v>
      </c>
      <c r="K119" t="s">
        <v>352</v>
      </c>
    </row>
    <row r="120" spans="1:11" hidden="1">
      <c r="A120" s="45">
        <v>41820</v>
      </c>
      <c r="B120" s="74">
        <v>315</v>
      </c>
      <c r="D120" s="47" t="s">
        <v>733</v>
      </c>
      <c r="E120">
        <v>1001</v>
      </c>
      <c r="F120">
        <v>96</v>
      </c>
      <c r="G120">
        <v>0.24509999999999998</v>
      </c>
      <c r="H120">
        <v>0.49</v>
      </c>
      <c r="I120">
        <v>0.24490000000000001</v>
      </c>
      <c r="J120" s="214">
        <v>23.510400000000001</v>
      </c>
      <c r="K120">
        <v>99.918400652794787</v>
      </c>
    </row>
    <row r="121" spans="1:11" hidden="1">
      <c r="A121" s="45">
        <v>41820</v>
      </c>
      <c r="B121" s="74">
        <v>315</v>
      </c>
      <c r="D121" s="47" t="s">
        <v>733</v>
      </c>
      <c r="E121" t="s">
        <v>351</v>
      </c>
      <c r="F121">
        <v>1</v>
      </c>
      <c r="G121">
        <v>0</v>
      </c>
      <c r="H121">
        <v>0.02</v>
      </c>
      <c r="I121">
        <v>0.02</v>
      </c>
      <c r="J121" s="214">
        <v>0.02</v>
      </c>
      <c r="K121" t="s">
        <v>352</v>
      </c>
    </row>
    <row r="122" spans="1:11" hidden="1">
      <c r="A122" s="45">
        <v>41821</v>
      </c>
      <c r="B122" s="74">
        <v>214</v>
      </c>
      <c r="D122" s="47" t="s">
        <v>750</v>
      </c>
      <c r="E122">
        <v>1001</v>
      </c>
      <c r="F122">
        <v>48</v>
      </c>
      <c r="G122">
        <v>0.24509999999999998</v>
      </c>
      <c r="H122">
        <v>0.54999999999999993</v>
      </c>
      <c r="I122">
        <v>0.30489999999999995</v>
      </c>
      <c r="J122" s="214">
        <v>14.635199999999998</v>
      </c>
      <c r="K122">
        <v>124.39820481436148</v>
      </c>
    </row>
    <row r="123" spans="1:11" hidden="1">
      <c r="A123" s="45">
        <v>41821</v>
      </c>
      <c r="B123" s="74">
        <v>214</v>
      </c>
      <c r="D123" s="47" t="s">
        <v>750</v>
      </c>
      <c r="E123" t="s">
        <v>351</v>
      </c>
      <c r="F123">
        <v>1</v>
      </c>
      <c r="G123">
        <v>0</v>
      </c>
      <c r="H123">
        <v>0.57999999999999996</v>
      </c>
      <c r="I123">
        <v>0.57999999999999996</v>
      </c>
      <c r="J123" s="214">
        <v>0.57999999999999996</v>
      </c>
      <c r="K123" t="s">
        <v>352</v>
      </c>
    </row>
    <row r="124" spans="1:11" hidden="1">
      <c r="A124" s="45">
        <v>41821</v>
      </c>
      <c r="B124" s="74">
        <v>501</v>
      </c>
      <c r="D124" s="47" t="s">
        <v>754</v>
      </c>
      <c r="E124">
        <v>1001</v>
      </c>
      <c r="F124">
        <v>96</v>
      </c>
      <c r="G124">
        <v>0.24510000000000001</v>
      </c>
      <c r="H124">
        <v>0.52</v>
      </c>
      <c r="I124">
        <v>0.27490000000000003</v>
      </c>
      <c r="J124" s="214">
        <v>26.3904</v>
      </c>
      <c r="K124">
        <v>112.15830273357813</v>
      </c>
    </row>
    <row r="125" spans="1:11" hidden="1">
      <c r="A125" s="45">
        <v>41821</v>
      </c>
      <c r="B125" s="74">
        <v>501</v>
      </c>
      <c r="D125" s="47" t="s">
        <v>754</v>
      </c>
      <c r="E125" t="s">
        <v>351</v>
      </c>
      <c r="F125">
        <v>1</v>
      </c>
      <c r="G125">
        <v>0</v>
      </c>
      <c r="H125">
        <v>0.6</v>
      </c>
      <c r="I125">
        <v>0.6</v>
      </c>
      <c r="J125" s="214">
        <v>0.6</v>
      </c>
      <c r="K125" t="s">
        <v>352</v>
      </c>
    </row>
    <row r="126" spans="1:11" hidden="1">
      <c r="A126" s="45">
        <v>41822</v>
      </c>
      <c r="B126" s="74">
        <v>213</v>
      </c>
      <c r="D126" s="47" t="s">
        <v>798</v>
      </c>
      <c r="E126">
        <v>1001</v>
      </c>
      <c r="F126">
        <v>24</v>
      </c>
      <c r="G126">
        <v>0.24509999999999998</v>
      </c>
      <c r="H126">
        <v>0.54999999999999993</v>
      </c>
      <c r="I126">
        <v>0.30489999999999995</v>
      </c>
      <c r="J126" s="214">
        <v>7.3175999999999988</v>
      </c>
      <c r="K126">
        <v>124.39820481436148</v>
      </c>
    </row>
    <row r="127" spans="1:11" hidden="1">
      <c r="A127" s="45">
        <v>41822</v>
      </c>
      <c r="B127" s="74">
        <v>213</v>
      </c>
      <c r="D127" s="47" t="s">
        <v>798</v>
      </c>
      <c r="E127" t="s">
        <v>351</v>
      </c>
      <c r="F127">
        <v>1</v>
      </c>
      <c r="G127">
        <v>0</v>
      </c>
      <c r="H127">
        <v>0.28999999999999998</v>
      </c>
      <c r="I127">
        <v>0.28999999999999998</v>
      </c>
      <c r="J127" s="214">
        <v>0.28999999999999998</v>
      </c>
      <c r="K127" t="s">
        <v>352</v>
      </c>
    </row>
    <row r="128" spans="1:11" hidden="1">
      <c r="A128" s="45">
        <v>41822</v>
      </c>
      <c r="B128" s="74">
        <v>215</v>
      </c>
      <c r="D128" s="47" t="s">
        <v>811</v>
      </c>
      <c r="E128">
        <v>1001</v>
      </c>
      <c r="F128">
        <v>24</v>
      </c>
      <c r="G128">
        <v>0.24509999999999998</v>
      </c>
      <c r="H128">
        <v>0.54999999999999993</v>
      </c>
      <c r="I128">
        <v>0.30489999999999995</v>
      </c>
      <c r="J128" s="214">
        <v>7.3175999999999988</v>
      </c>
      <c r="K128">
        <v>124.39820481436148</v>
      </c>
    </row>
    <row r="129" spans="1:11" hidden="1">
      <c r="A129" s="45">
        <v>41822</v>
      </c>
      <c r="B129" s="74">
        <v>215</v>
      </c>
      <c r="D129" s="47" t="s">
        <v>811</v>
      </c>
      <c r="E129" t="s">
        <v>351</v>
      </c>
      <c r="F129">
        <v>1</v>
      </c>
      <c r="G129">
        <v>0</v>
      </c>
      <c r="H129">
        <v>0.28999999999999998</v>
      </c>
      <c r="I129">
        <v>0.28999999999999998</v>
      </c>
      <c r="J129" s="214">
        <v>0.28999999999999998</v>
      </c>
      <c r="K129" t="s">
        <v>352</v>
      </c>
    </row>
    <row r="130" spans="1:11" hidden="1">
      <c r="A130" s="45">
        <v>41823</v>
      </c>
      <c r="B130" s="74">
        <v>550</v>
      </c>
      <c r="D130" s="47" t="s">
        <v>833</v>
      </c>
      <c r="E130">
        <v>1001</v>
      </c>
      <c r="F130">
        <v>48</v>
      </c>
      <c r="G130">
        <v>0.24509999999999998</v>
      </c>
      <c r="H130">
        <v>0.49</v>
      </c>
      <c r="I130">
        <v>0.24490000000000001</v>
      </c>
      <c r="J130" s="214">
        <v>11.7552</v>
      </c>
      <c r="K130">
        <v>99.918400652794787</v>
      </c>
    </row>
    <row r="131" spans="1:11" hidden="1">
      <c r="A131" s="45">
        <v>41823</v>
      </c>
      <c r="B131" s="74">
        <v>550</v>
      </c>
      <c r="D131" s="47" t="s">
        <v>833</v>
      </c>
      <c r="E131" t="s">
        <v>351</v>
      </c>
      <c r="F131">
        <v>1</v>
      </c>
      <c r="G131">
        <v>0</v>
      </c>
      <c r="H131">
        <v>0.01</v>
      </c>
      <c r="I131">
        <v>0.01</v>
      </c>
      <c r="J131" s="214">
        <v>0.01</v>
      </c>
      <c r="K131" t="s">
        <v>352</v>
      </c>
    </row>
    <row r="132" spans="1:11" hidden="1">
      <c r="A132" s="45">
        <v>41824</v>
      </c>
      <c r="B132" s="74">
        <v>551</v>
      </c>
      <c r="D132" s="47" t="s">
        <v>843</v>
      </c>
      <c r="E132">
        <v>1001</v>
      </c>
      <c r="F132">
        <v>24</v>
      </c>
      <c r="G132">
        <v>0.24509999999999998</v>
      </c>
      <c r="H132">
        <v>0.49</v>
      </c>
      <c r="I132">
        <v>0.24490000000000001</v>
      </c>
      <c r="J132" s="214">
        <v>5.8776000000000002</v>
      </c>
      <c r="K132">
        <v>99.918400652794787</v>
      </c>
    </row>
    <row r="133" spans="1:11" hidden="1">
      <c r="A133" s="45">
        <v>41824</v>
      </c>
      <c r="B133" s="74">
        <v>551</v>
      </c>
      <c r="D133" s="47" t="s">
        <v>843</v>
      </c>
      <c r="E133" t="s">
        <v>351</v>
      </c>
      <c r="F133">
        <v>1</v>
      </c>
      <c r="G133">
        <v>0</v>
      </c>
      <c r="H133">
        <v>0.01</v>
      </c>
      <c r="I133">
        <v>0.01</v>
      </c>
      <c r="J133" s="214">
        <v>0.01</v>
      </c>
      <c r="K133" t="s">
        <v>352</v>
      </c>
    </row>
    <row r="134" spans="1:11" hidden="1">
      <c r="A134" s="45">
        <v>41824</v>
      </c>
      <c r="B134" s="74">
        <v>260</v>
      </c>
      <c r="D134" s="47" t="s">
        <v>849</v>
      </c>
      <c r="E134">
        <v>1001</v>
      </c>
      <c r="F134">
        <v>192</v>
      </c>
      <c r="G134">
        <v>0.24509999999999998</v>
      </c>
      <c r="H134">
        <v>0.49</v>
      </c>
      <c r="I134">
        <v>0.24490000000000001</v>
      </c>
      <c r="J134" s="214">
        <v>47.020800000000001</v>
      </c>
      <c r="K134">
        <v>99.918400652794787</v>
      </c>
    </row>
    <row r="135" spans="1:11" hidden="1">
      <c r="A135" s="45">
        <v>41824</v>
      </c>
      <c r="B135" s="74">
        <v>260</v>
      </c>
      <c r="D135" s="47" t="s">
        <v>849</v>
      </c>
      <c r="E135" t="s">
        <v>351</v>
      </c>
      <c r="F135">
        <v>1</v>
      </c>
      <c r="G135">
        <v>0</v>
      </c>
      <c r="H135">
        <v>0.04</v>
      </c>
      <c r="I135">
        <v>0.04</v>
      </c>
      <c r="J135" s="214">
        <v>0.04</v>
      </c>
      <c r="K135" t="s">
        <v>352</v>
      </c>
    </row>
    <row r="136" spans="1:11" hidden="1">
      <c r="A136" s="45">
        <v>41827</v>
      </c>
      <c r="B136" s="74">
        <v>305</v>
      </c>
      <c r="D136" s="47" t="s">
        <v>863</v>
      </c>
      <c r="E136">
        <v>1001</v>
      </c>
      <c r="F136">
        <v>192</v>
      </c>
      <c r="G136">
        <v>0.24510000000000001</v>
      </c>
      <c r="H136">
        <v>0.52</v>
      </c>
      <c r="I136">
        <v>0.27490000000000003</v>
      </c>
      <c r="J136" s="214">
        <v>52.780799999999999</v>
      </c>
      <c r="K136">
        <v>112.15830273357813</v>
      </c>
    </row>
    <row r="137" spans="1:11" hidden="1">
      <c r="A137" s="45">
        <v>41827</v>
      </c>
      <c r="B137" s="74">
        <v>305</v>
      </c>
      <c r="D137" s="47" t="s">
        <v>863</v>
      </c>
      <c r="E137" t="s">
        <v>351</v>
      </c>
      <c r="F137">
        <v>1</v>
      </c>
      <c r="G137">
        <v>0</v>
      </c>
      <c r="H137">
        <v>1.19</v>
      </c>
      <c r="I137">
        <v>1.19</v>
      </c>
      <c r="J137" s="214">
        <v>1.19</v>
      </c>
      <c r="K137" t="s">
        <v>352</v>
      </c>
    </row>
    <row r="138" spans="1:11" hidden="1">
      <c r="A138" s="45">
        <v>41827</v>
      </c>
      <c r="B138" s="74">
        <v>204</v>
      </c>
      <c r="D138" s="47" t="s">
        <v>876</v>
      </c>
      <c r="E138">
        <v>1001</v>
      </c>
      <c r="F138">
        <v>96</v>
      </c>
      <c r="G138">
        <v>0.24509999999999998</v>
      </c>
      <c r="H138">
        <v>0.49</v>
      </c>
      <c r="I138">
        <v>0.24490000000000001</v>
      </c>
      <c r="J138" s="214">
        <v>23.510400000000001</v>
      </c>
      <c r="K138">
        <v>99.918400652794787</v>
      </c>
    </row>
    <row r="139" spans="1:11" hidden="1">
      <c r="A139" s="45">
        <v>41827</v>
      </c>
      <c r="B139" s="74">
        <v>204</v>
      </c>
      <c r="D139" s="47" t="s">
        <v>876</v>
      </c>
      <c r="E139" t="s">
        <v>351</v>
      </c>
      <c r="F139">
        <v>1</v>
      </c>
      <c r="G139">
        <v>0</v>
      </c>
      <c r="H139">
        <v>0.02</v>
      </c>
      <c r="I139">
        <v>0.02</v>
      </c>
      <c r="J139" s="214">
        <v>0.02</v>
      </c>
      <c r="K139" t="s">
        <v>352</v>
      </c>
    </row>
    <row r="140" spans="1:11" hidden="1">
      <c r="A140" s="45">
        <v>41827</v>
      </c>
      <c r="B140" s="74">
        <v>450</v>
      </c>
      <c r="D140" s="47" t="s">
        <v>898</v>
      </c>
      <c r="E140">
        <v>1001</v>
      </c>
      <c r="F140">
        <v>96</v>
      </c>
      <c r="G140">
        <v>0.24509999999999998</v>
      </c>
      <c r="H140">
        <v>0.49</v>
      </c>
      <c r="I140">
        <v>0.24490000000000001</v>
      </c>
      <c r="J140" s="214">
        <v>23.510400000000001</v>
      </c>
      <c r="K140">
        <v>99.918400652794787</v>
      </c>
    </row>
    <row r="141" spans="1:11" hidden="1">
      <c r="A141" s="45">
        <v>41827</v>
      </c>
      <c r="B141" s="74">
        <v>450</v>
      </c>
      <c r="D141" s="47" t="s">
        <v>898</v>
      </c>
      <c r="E141" t="s">
        <v>351</v>
      </c>
      <c r="F141">
        <v>1</v>
      </c>
      <c r="G141">
        <v>0</v>
      </c>
      <c r="H141">
        <v>0.02</v>
      </c>
      <c r="I141">
        <v>0.02</v>
      </c>
      <c r="J141" s="214">
        <v>0.02</v>
      </c>
      <c r="K141" t="s">
        <v>352</v>
      </c>
    </row>
    <row r="142" spans="1:11" hidden="1">
      <c r="A142" s="45">
        <v>41829</v>
      </c>
      <c r="B142" s="74">
        <v>205</v>
      </c>
      <c r="D142" s="47" t="s">
        <v>938</v>
      </c>
      <c r="E142">
        <v>1001</v>
      </c>
      <c r="F142">
        <v>24</v>
      </c>
      <c r="G142">
        <v>0.24509999999999998</v>
      </c>
      <c r="H142">
        <v>0.49</v>
      </c>
      <c r="I142">
        <v>0.24490000000000001</v>
      </c>
      <c r="J142" s="214">
        <v>5.8776000000000002</v>
      </c>
      <c r="K142">
        <v>99.918400652794787</v>
      </c>
    </row>
    <row r="143" spans="1:11" hidden="1">
      <c r="A143" s="45">
        <v>41829</v>
      </c>
      <c r="B143" s="74">
        <v>205</v>
      </c>
      <c r="D143" s="47" t="s">
        <v>938</v>
      </c>
      <c r="E143" t="s">
        <v>351</v>
      </c>
      <c r="F143">
        <v>1</v>
      </c>
      <c r="G143">
        <v>0</v>
      </c>
      <c r="H143">
        <v>0.01</v>
      </c>
      <c r="I143">
        <v>0.01</v>
      </c>
      <c r="J143" s="214">
        <v>0.01</v>
      </c>
      <c r="K143" t="s">
        <v>352</v>
      </c>
    </row>
    <row r="144" spans="1:11" hidden="1">
      <c r="A144" s="45">
        <v>41829</v>
      </c>
      <c r="B144" s="74">
        <v>213</v>
      </c>
      <c r="D144" s="47" t="s">
        <v>942</v>
      </c>
      <c r="E144">
        <v>1001</v>
      </c>
      <c r="F144">
        <v>72</v>
      </c>
      <c r="G144">
        <v>0.24510000000000001</v>
      </c>
      <c r="H144">
        <v>0.49</v>
      </c>
      <c r="I144">
        <v>0.24489999999999998</v>
      </c>
      <c r="J144" s="214">
        <v>17.6328</v>
      </c>
      <c r="K144">
        <v>99.918400652794759</v>
      </c>
    </row>
    <row r="145" spans="1:11" hidden="1">
      <c r="A145" s="45">
        <v>41829</v>
      </c>
      <c r="B145" s="74">
        <v>213</v>
      </c>
      <c r="D145" s="47" t="s">
        <v>942</v>
      </c>
      <c r="E145" t="s">
        <v>351</v>
      </c>
      <c r="F145">
        <v>1</v>
      </c>
      <c r="G145">
        <v>0</v>
      </c>
      <c r="H145">
        <v>0.02</v>
      </c>
      <c r="I145">
        <v>0.02</v>
      </c>
      <c r="J145" s="214">
        <v>0.02</v>
      </c>
      <c r="K145" t="s">
        <v>352</v>
      </c>
    </row>
    <row r="146" spans="1:11" hidden="1">
      <c r="A146" s="45">
        <v>41834</v>
      </c>
      <c r="B146" s="74">
        <v>530</v>
      </c>
      <c r="D146" s="47" t="s">
        <v>970</v>
      </c>
      <c r="E146">
        <v>1001</v>
      </c>
      <c r="F146">
        <v>24</v>
      </c>
      <c r="G146">
        <v>0.24509999999999998</v>
      </c>
      <c r="H146">
        <v>0.49</v>
      </c>
      <c r="I146">
        <v>0.24490000000000001</v>
      </c>
      <c r="J146" s="214">
        <v>5.8776000000000002</v>
      </c>
      <c r="K146">
        <v>99.918400652794787</v>
      </c>
    </row>
    <row r="147" spans="1:11" hidden="1">
      <c r="A147" s="45">
        <v>41834</v>
      </c>
      <c r="B147" s="74">
        <v>530</v>
      </c>
      <c r="D147" s="47" t="s">
        <v>970</v>
      </c>
      <c r="E147" t="s">
        <v>351</v>
      </c>
      <c r="F147">
        <v>1</v>
      </c>
      <c r="G147">
        <v>0</v>
      </c>
      <c r="H147">
        <v>1.01</v>
      </c>
      <c r="I147">
        <v>1.01</v>
      </c>
      <c r="J147" s="214">
        <v>1.01</v>
      </c>
      <c r="K147" t="s">
        <v>352</v>
      </c>
    </row>
    <row r="148" spans="1:11" hidden="1">
      <c r="A148" s="45">
        <v>41834</v>
      </c>
      <c r="B148" s="74">
        <v>314</v>
      </c>
      <c r="D148" s="47" t="s">
        <v>974</v>
      </c>
      <c r="E148">
        <v>1001</v>
      </c>
      <c r="F148">
        <v>24</v>
      </c>
      <c r="G148">
        <v>0.24509999999999998</v>
      </c>
      <c r="H148">
        <v>0.49</v>
      </c>
      <c r="I148">
        <v>0.24490000000000001</v>
      </c>
      <c r="J148" s="214">
        <v>5.8776000000000002</v>
      </c>
      <c r="K148">
        <v>99.918400652794787</v>
      </c>
    </row>
    <row r="149" spans="1:11" hidden="1">
      <c r="A149" s="45">
        <v>41834</v>
      </c>
      <c r="B149" s="74">
        <v>314</v>
      </c>
      <c r="D149" s="47" t="s">
        <v>974</v>
      </c>
      <c r="E149" t="s">
        <v>351</v>
      </c>
      <c r="F149">
        <v>1</v>
      </c>
      <c r="G149">
        <v>0</v>
      </c>
      <c r="H149">
        <v>0.01</v>
      </c>
      <c r="I149">
        <v>0.01</v>
      </c>
      <c r="J149" s="214">
        <v>0.01</v>
      </c>
      <c r="K149" t="s">
        <v>352</v>
      </c>
    </row>
    <row r="150" spans="1:11" hidden="1">
      <c r="A150" s="45">
        <v>41835</v>
      </c>
      <c r="B150" s="74">
        <v>302</v>
      </c>
      <c r="D150" s="47" t="s">
        <v>980</v>
      </c>
      <c r="E150">
        <v>1001</v>
      </c>
      <c r="F150">
        <v>48</v>
      </c>
      <c r="G150">
        <v>0.24509999999999998</v>
      </c>
      <c r="H150">
        <v>0.49</v>
      </c>
      <c r="I150">
        <v>0.24490000000000001</v>
      </c>
      <c r="J150" s="214">
        <v>11.7552</v>
      </c>
      <c r="K150">
        <v>99.918400652794787</v>
      </c>
    </row>
    <row r="151" spans="1:11" hidden="1">
      <c r="A151" s="45">
        <v>41835</v>
      </c>
      <c r="B151" s="74">
        <v>302</v>
      </c>
      <c r="D151" s="47" t="s">
        <v>980</v>
      </c>
      <c r="E151" t="s">
        <v>351</v>
      </c>
      <c r="F151">
        <v>1</v>
      </c>
      <c r="G151">
        <v>0</v>
      </c>
      <c r="H151">
        <v>0.01</v>
      </c>
      <c r="I151">
        <v>0.01</v>
      </c>
      <c r="J151" s="214">
        <v>0.01</v>
      </c>
      <c r="K151" t="s">
        <v>352</v>
      </c>
    </row>
    <row r="152" spans="1:11" hidden="1">
      <c r="A152" s="45">
        <v>41835</v>
      </c>
      <c r="B152" s="74">
        <v>570</v>
      </c>
      <c r="D152" s="47" t="s">
        <v>986</v>
      </c>
      <c r="E152">
        <v>1001</v>
      </c>
      <c r="F152">
        <v>96</v>
      </c>
      <c r="G152">
        <v>0.24509999999999998</v>
      </c>
      <c r="H152">
        <v>0.54999999999999993</v>
      </c>
      <c r="I152">
        <v>0.30489999999999995</v>
      </c>
      <c r="J152" s="214">
        <v>29.270399999999995</v>
      </c>
      <c r="K152">
        <v>124.39820481436148</v>
      </c>
    </row>
    <row r="153" spans="1:11" hidden="1">
      <c r="A153" s="45">
        <v>41835</v>
      </c>
      <c r="B153" s="74">
        <v>570</v>
      </c>
      <c r="D153" s="47" t="s">
        <v>986</v>
      </c>
      <c r="E153" t="s">
        <v>351</v>
      </c>
      <c r="F153">
        <v>1</v>
      </c>
      <c r="G153">
        <v>0</v>
      </c>
      <c r="H153">
        <v>0.17</v>
      </c>
      <c r="I153">
        <v>0.17</v>
      </c>
      <c r="J153" s="214">
        <v>0.17</v>
      </c>
      <c r="K153" t="s">
        <v>352</v>
      </c>
    </row>
    <row r="154" spans="1:11" hidden="1">
      <c r="A154" s="45">
        <v>41835</v>
      </c>
      <c r="B154" s="74">
        <v>306</v>
      </c>
      <c r="D154" s="47" t="s">
        <v>998</v>
      </c>
      <c r="E154">
        <v>1001</v>
      </c>
      <c r="F154">
        <v>24</v>
      </c>
      <c r="G154">
        <v>0.24509999999999998</v>
      </c>
      <c r="H154">
        <v>0.54999999999999993</v>
      </c>
      <c r="I154">
        <v>0.30489999999999995</v>
      </c>
      <c r="J154" s="214">
        <v>7.3175999999999988</v>
      </c>
      <c r="K154">
        <v>124.39820481436148</v>
      </c>
    </row>
    <row r="155" spans="1:11" hidden="1">
      <c r="A155" s="45">
        <v>41835</v>
      </c>
      <c r="B155" s="74">
        <v>306</v>
      </c>
      <c r="D155" s="47" t="s">
        <v>998</v>
      </c>
      <c r="E155" t="s">
        <v>351</v>
      </c>
      <c r="F155">
        <v>1</v>
      </c>
      <c r="G155">
        <v>0</v>
      </c>
      <c r="H155">
        <v>0.28999999999999998</v>
      </c>
      <c r="I155">
        <v>0.28999999999999998</v>
      </c>
      <c r="J155" s="214">
        <v>0.28999999999999998</v>
      </c>
      <c r="K155" t="s">
        <v>352</v>
      </c>
    </row>
    <row r="156" spans="1:11" hidden="1">
      <c r="A156" s="45">
        <v>41835</v>
      </c>
      <c r="B156" s="74">
        <v>320</v>
      </c>
      <c r="D156" s="47" t="s">
        <v>1013</v>
      </c>
      <c r="E156">
        <v>1001</v>
      </c>
      <c r="F156">
        <v>48</v>
      </c>
      <c r="G156">
        <v>0.24509999999999998</v>
      </c>
      <c r="H156">
        <v>0.49</v>
      </c>
      <c r="I156">
        <v>0.24490000000000001</v>
      </c>
      <c r="J156" s="214">
        <v>11.7552</v>
      </c>
      <c r="K156">
        <v>99.918400652794787</v>
      </c>
    </row>
    <row r="157" spans="1:11" hidden="1">
      <c r="A157" s="45">
        <v>41835</v>
      </c>
      <c r="B157" s="74">
        <v>320</v>
      </c>
      <c r="D157" s="47" t="s">
        <v>1013</v>
      </c>
      <c r="E157" t="s">
        <v>351</v>
      </c>
      <c r="F157">
        <v>1</v>
      </c>
      <c r="G157">
        <v>0</v>
      </c>
      <c r="H157">
        <v>0.01</v>
      </c>
      <c r="I157">
        <v>0.01</v>
      </c>
      <c r="J157" s="214">
        <v>0.01</v>
      </c>
      <c r="K157" t="s">
        <v>352</v>
      </c>
    </row>
    <row r="158" spans="1:11" hidden="1">
      <c r="A158" s="45">
        <v>41835</v>
      </c>
      <c r="B158" s="74">
        <v>552</v>
      </c>
      <c r="D158" s="47" t="s">
        <v>1028</v>
      </c>
      <c r="E158">
        <v>1001</v>
      </c>
      <c r="F158">
        <v>96</v>
      </c>
      <c r="G158">
        <v>0.24509999999999998</v>
      </c>
      <c r="H158">
        <v>0.49</v>
      </c>
      <c r="I158">
        <v>0.24490000000000001</v>
      </c>
      <c r="J158" s="214">
        <v>23.510400000000001</v>
      </c>
      <c r="K158">
        <v>99.918400652794787</v>
      </c>
    </row>
    <row r="159" spans="1:11" hidden="1">
      <c r="A159" s="45">
        <v>41835</v>
      </c>
      <c r="B159" s="74">
        <v>552</v>
      </c>
      <c r="D159" s="47" t="s">
        <v>1028</v>
      </c>
      <c r="E159" t="s">
        <v>351</v>
      </c>
      <c r="F159">
        <v>1</v>
      </c>
      <c r="G159">
        <v>0</v>
      </c>
      <c r="H159">
        <v>0.02</v>
      </c>
      <c r="I159">
        <v>0.02</v>
      </c>
      <c r="J159" s="214">
        <v>0.02</v>
      </c>
      <c r="K159" t="s">
        <v>352</v>
      </c>
    </row>
    <row r="160" spans="1:11" hidden="1">
      <c r="A160" s="45">
        <v>41838</v>
      </c>
      <c r="B160" s="74">
        <v>261</v>
      </c>
      <c r="D160" s="47" t="s">
        <v>1041</v>
      </c>
      <c r="E160">
        <v>1001</v>
      </c>
      <c r="F160">
        <v>72</v>
      </c>
      <c r="G160">
        <v>0.24510000000000001</v>
      </c>
      <c r="H160">
        <v>0.49</v>
      </c>
      <c r="I160">
        <v>0.24489999999999998</v>
      </c>
      <c r="J160" s="214">
        <v>17.6328</v>
      </c>
      <c r="K160">
        <v>99.918400652794759</v>
      </c>
    </row>
    <row r="161" spans="1:11" hidden="1">
      <c r="A161" s="45">
        <v>41838</v>
      </c>
      <c r="B161" s="74">
        <v>261</v>
      </c>
      <c r="D161" s="47" t="s">
        <v>1041</v>
      </c>
      <c r="E161" t="s">
        <v>351</v>
      </c>
      <c r="F161">
        <v>1</v>
      </c>
      <c r="G161">
        <v>0</v>
      </c>
      <c r="H161">
        <v>0.02</v>
      </c>
      <c r="I161">
        <v>0.02</v>
      </c>
      <c r="J161" s="214">
        <v>0.02</v>
      </c>
      <c r="K161" t="s">
        <v>352</v>
      </c>
    </row>
    <row r="162" spans="1:11" hidden="1">
      <c r="A162" s="45">
        <v>41837</v>
      </c>
      <c r="B162" s="74">
        <v>250</v>
      </c>
      <c r="D162" s="47" t="s">
        <v>1045</v>
      </c>
      <c r="E162">
        <v>1001</v>
      </c>
      <c r="F162">
        <v>96</v>
      </c>
      <c r="G162">
        <v>0.24509999999999998</v>
      </c>
      <c r="H162">
        <v>0.54999999999999993</v>
      </c>
      <c r="I162">
        <v>0.30489999999999995</v>
      </c>
      <c r="J162" s="214">
        <v>29.270399999999995</v>
      </c>
      <c r="K162">
        <v>124.39820481436148</v>
      </c>
    </row>
    <row r="163" spans="1:11" hidden="1">
      <c r="A163" s="45">
        <v>41837</v>
      </c>
      <c r="B163" s="74">
        <v>250</v>
      </c>
      <c r="D163" s="47" t="s">
        <v>1045</v>
      </c>
      <c r="E163" t="s">
        <v>351</v>
      </c>
      <c r="F163">
        <v>1</v>
      </c>
      <c r="G163">
        <v>0</v>
      </c>
      <c r="H163">
        <v>0.17</v>
      </c>
      <c r="I163">
        <v>0.17</v>
      </c>
      <c r="J163" s="214">
        <v>0.17</v>
      </c>
      <c r="K163" t="s">
        <v>352</v>
      </c>
    </row>
    <row r="164" spans="1:11" hidden="1">
      <c r="A164" s="45">
        <v>41837</v>
      </c>
      <c r="B164" s="74">
        <v>440</v>
      </c>
      <c r="D164" s="47" t="s">
        <v>1055</v>
      </c>
      <c r="E164">
        <v>1001</v>
      </c>
      <c r="F164">
        <v>72</v>
      </c>
      <c r="G164">
        <v>0.24510000000000001</v>
      </c>
      <c r="H164">
        <v>0.49</v>
      </c>
      <c r="I164">
        <v>0.24489999999999998</v>
      </c>
      <c r="J164" s="214">
        <v>17.6328</v>
      </c>
      <c r="K164">
        <v>99.918400652794759</v>
      </c>
    </row>
    <row r="165" spans="1:11" hidden="1">
      <c r="A165" s="45">
        <v>41837</v>
      </c>
      <c r="B165" s="74">
        <v>440</v>
      </c>
      <c r="D165" s="47" t="s">
        <v>1055</v>
      </c>
      <c r="E165" t="s">
        <v>351</v>
      </c>
      <c r="F165">
        <v>1</v>
      </c>
      <c r="G165">
        <v>0</v>
      </c>
      <c r="H165">
        <v>0.02</v>
      </c>
      <c r="I165">
        <v>0.02</v>
      </c>
      <c r="J165" s="214">
        <v>0.02</v>
      </c>
      <c r="K165" t="s">
        <v>352</v>
      </c>
    </row>
    <row r="166" spans="1:11" hidden="1">
      <c r="A166" s="45">
        <v>41841</v>
      </c>
      <c r="B166" s="74">
        <v>321</v>
      </c>
      <c r="D166" s="47" t="s">
        <v>1068</v>
      </c>
      <c r="E166">
        <v>1001</v>
      </c>
      <c r="F166">
        <v>24</v>
      </c>
      <c r="G166">
        <v>0.24509999999999998</v>
      </c>
      <c r="H166">
        <v>0.54999999999999993</v>
      </c>
      <c r="I166">
        <v>0.30489999999999995</v>
      </c>
      <c r="J166" s="214">
        <v>7.3175999999999988</v>
      </c>
      <c r="K166">
        <v>124.39820481436148</v>
      </c>
    </row>
    <row r="167" spans="1:11" hidden="1">
      <c r="A167" s="45">
        <v>41841</v>
      </c>
      <c r="B167" s="74">
        <v>321</v>
      </c>
      <c r="D167" s="47" t="s">
        <v>1068</v>
      </c>
      <c r="E167" t="s">
        <v>351</v>
      </c>
      <c r="F167">
        <v>1</v>
      </c>
      <c r="G167">
        <v>0</v>
      </c>
      <c r="H167">
        <v>0.28999999999999998</v>
      </c>
      <c r="I167">
        <v>0.28999999999999998</v>
      </c>
      <c r="J167" s="214">
        <v>0.28999999999999998</v>
      </c>
      <c r="K167" t="s">
        <v>352</v>
      </c>
    </row>
    <row r="168" spans="1:11" hidden="1">
      <c r="A168" s="45">
        <v>41841</v>
      </c>
      <c r="B168" s="74">
        <v>401</v>
      </c>
      <c r="D168" s="47" t="s">
        <v>1073</v>
      </c>
      <c r="E168">
        <v>1001</v>
      </c>
      <c r="F168">
        <v>24</v>
      </c>
      <c r="G168">
        <v>0.24510000000000001</v>
      </c>
      <c r="H168">
        <v>0.59</v>
      </c>
      <c r="I168">
        <v>0.34489999999999998</v>
      </c>
      <c r="J168" s="214">
        <v>8.2775999999999996</v>
      </c>
      <c r="K168">
        <v>140.71807425540592</v>
      </c>
    </row>
    <row r="169" spans="1:11" hidden="1">
      <c r="A169" s="45">
        <v>41841</v>
      </c>
      <c r="B169" s="74">
        <v>213</v>
      </c>
      <c r="D169" s="47" t="s">
        <v>1077</v>
      </c>
      <c r="E169">
        <v>1001</v>
      </c>
      <c r="F169">
        <v>48</v>
      </c>
      <c r="G169">
        <v>0.24509999999999998</v>
      </c>
      <c r="H169">
        <v>0.49</v>
      </c>
      <c r="I169">
        <v>0.24490000000000001</v>
      </c>
      <c r="J169" s="214">
        <v>11.7552</v>
      </c>
      <c r="K169">
        <v>99.918400652794787</v>
      </c>
    </row>
    <row r="170" spans="1:11" hidden="1">
      <c r="A170" s="45">
        <v>41841</v>
      </c>
      <c r="B170" s="74">
        <v>213</v>
      </c>
      <c r="D170" s="47" t="s">
        <v>1077</v>
      </c>
      <c r="E170" t="s">
        <v>351</v>
      </c>
      <c r="F170">
        <v>1</v>
      </c>
      <c r="G170">
        <v>0</v>
      </c>
      <c r="H170">
        <v>0.01</v>
      </c>
      <c r="I170">
        <v>0.01</v>
      </c>
      <c r="J170" s="214">
        <v>0.01</v>
      </c>
      <c r="K170" t="s">
        <v>352</v>
      </c>
    </row>
    <row r="171" spans="1:11" hidden="1">
      <c r="A171" s="45">
        <v>41841</v>
      </c>
      <c r="B171" s="74">
        <v>205</v>
      </c>
      <c r="D171" s="47" t="s">
        <v>1080</v>
      </c>
      <c r="E171">
        <v>1001</v>
      </c>
      <c r="F171">
        <v>48</v>
      </c>
      <c r="G171">
        <v>0.24509999999999998</v>
      </c>
      <c r="H171">
        <v>0.54999999999999993</v>
      </c>
      <c r="I171">
        <v>0.30489999999999995</v>
      </c>
      <c r="J171" s="214">
        <v>14.635199999999998</v>
      </c>
      <c r="K171">
        <v>124.39820481436148</v>
      </c>
    </row>
    <row r="172" spans="1:11" hidden="1">
      <c r="A172" s="45">
        <v>41841</v>
      </c>
      <c r="B172" s="74">
        <v>205</v>
      </c>
      <c r="D172" s="47" t="s">
        <v>1080</v>
      </c>
      <c r="E172" t="s">
        <v>351</v>
      </c>
      <c r="F172">
        <v>1</v>
      </c>
      <c r="G172">
        <v>0</v>
      </c>
      <c r="H172">
        <v>0.57999999999999996</v>
      </c>
      <c r="I172">
        <v>0.57999999999999996</v>
      </c>
      <c r="J172" s="214">
        <v>0.57999999999999996</v>
      </c>
      <c r="K172" t="s">
        <v>352</v>
      </c>
    </row>
    <row r="173" spans="1:11" hidden="1">
      <c r="A173" s="45">
        <v>41843</v>
      </c>
      <c r="B173" s="74">
        <v>230</v>
      </c>
      <c r="D173" s="47" t="s">
        <v>1095</v>
      </c>
      <c r="E173">
        <v>1001</v>
      </c>
      <c r="F173">
        <v>96</v>
      </c>
      <c r="G173">
        <v>0.24509999999999998</v>
      </c>
      <c r="H173">
        <v>0.54999999999999993</v>
      </c>
      <c r="I173">
        <v>0.30489999999999995</v>
      </c>
      <c r="J173" s="214">
        <v>29.270399999999995</v>
      </c>
      <c r="K173">
        <v>124.39820481436148</v>
      </c>
    </row>
    <row r="174" spans="1:11" hidden="1">
      <c r="A174" s="45">
        <v>41843</v>
      </c>
      <c r="B174" s="74">
        <v>230</v>
      </c>
      <c r="D174" s="47" t="s">
        <v>1095</v>
      </c>
      <c r="E174" t="s">
        <v>351</v>
      </c>
      <c r="F174">
        <v>1</v>
      </c>
      <c r="G174">
        <v>0</v>
      </c>
      <c r="H174">
        <v>0.17</v>
      </c>
      <c r="I174">
        <v>0.17</v>
      </c>
      <c r="J174" s="214">
        <v>0.17</v>
      </c>
      <c r="K174" t="s">
        <v>352</v>
      </c>
    </row>
    <row r="175" spans="1:11" hidden="1">
      <c r="A175" s="45">
        <v>41843</v>
      </c>
      <c r="B175" s="74">
        <v>260</v>
      </c>
      <c r="D175" s="47" t="s">
        <v>1099</v>
      </c>
      <c r="E175">
        <v>1001</v>
      </c>
      <c r="F175">
        <v>96</v>
      </c>
      <c r="G175">
        <v>0.24509999999999998</v>
      </c>
      <c r="H175">
        <v>0.49</v>
      </c>
      <c r="I175">
        <v>0.24490000000000001</v>
      </c>
      <c r="J175" s="214">
        <v>23.510400000000001</v>
      </c>
      <c r="K175">
        <v>99.918400652794787</v>
      </c>
    </row>
    <row r="176" spans="1:11" hidden="1">
      <c r="A176" s="45">
        <v>41843</v>
      </c>
      <c r="B176" s="74">
        <v>260</v>
      </c>
      <c r="D176" s="47" t="s">
        <v>1099</v>
      </c>
      <c r="E176" t="s">
        <v>351</v>
      </c>
      <c r="F176">
        <v>1</v>
      </c>
      <c r="G176">
        <v>0</v>
      </c>
      <c r="H176">
        <v>0.02</v>
      </c>
      <c r="I176">
        <v>0.02</v>
      </c>
      <c r="J176" s="214">
        <v>0.02</v>
      </c>
      <c r="K176" t="s">
        <v>352</v>
      </c>
    </row>
    <row r="177" spans="1:11" hidden="1">
      <c r="A177" s="45">
        <v>41843</v>
      </c>
      <c r="B177" s="74">
        <v>580</v>
      </c>
      <c r="D177" s="47" t="s">
        <v>1108</v>
      </c>
      <c r="E177">
        <v>1001</v>
      </c>
      <c r="F177">
        <v>48</v>
      </c>
      <c r="G177">
        <v>0.24509999999999998</v>
      </c>
      <c r="H177">
        <v>0.54999999999999993</v>
      </c>
      <c r="I177">
        <v>0.30489999999999995</v>
      </c>
      <c r="J177" s="214">
        <v>14.635199999999998</v>
      </c>
      <c r="K177">
        <v>124.39820481436148</v>
      </c>
    </row>
    <row r="178" spans="1:11" hidden="1">
      <c r="A178" s="45">
        <v>41843</v>
      </c>
      <c r="B178" s="74">
        <v>580</v>
      </c>
      <c r="D178" s="47" t="s">
        <v>1108</v>
      </c>
      <c r="E178" t="s">
        <v>351</v>
      </c>
      <c r="F178">
        <v>1</v>
      </c>
      <c r="G178">
        <v>0</v>
      </c>
      <c r="H178">
        <v>-1.42</v>
      </c>
      <c r="I178">
        <v>-1.42</v>
      </c>
      <c r="J178" s="214">
        <v>-1.42</v>
      </c>
      <c r="K178" t="s">
        <v>352</v>
      </c>
    </row>
    <row r="179" spans="1:11" hidden="1">
      <c r="A179" s="45">
        <v>41843</v>
      </c>
      <c r="B179" s="74">
        <v>510</v>
      </c>
      <c r="D179" s="47" t="s">
        <v>1113</v>
      </c>
      <c r="E179">
        <v>1001</v>
      </c>
      <c r="F179">
        <v>96</v>
      </c>
      <c r="G179">
        <v>0.24509999999999998</v>
      </c>
      <c r="H179">
        <v>0.49</v>
      </c>
      <c r="I179">
        <v>0.24490000000000001</v>
      </c>
      <c r="J179" s="214">
        <v>23.510400000000001</v>
      </c>
      <c r="K179">
        <v>99.918400652794787</v>
      </c>
    </row>
    <row r="180" spans="1:11" hidden="1">
      <c r="A180" s="45">
        <v>41843</v>
      </c>
      <c r="B180" s="74">
        <v>510</v>
      </c>
      <c r="D180" s="47" t="s">
        <v>1113</v>
      </c>
      <c r="E180" t="s">
        <v>351</v>
      </c>
      <c r="F180">
        <v>1</v>
      </c>
      <c r="G180">
        <v>0</v>
      </c>
      <c r="H180">
        <v>0.02</v>
      </c>
      <c r="I180">
        <v>0.02</v>
      </c>
      <c r="J180" s="214">
        <v>0.02</v>
      </c>
      <c r="K180" t="s">
        <v>352</v>
      </c>
    </row>
    <row r="181" spans="1:11" hidden="1">
      <c r="A181" s="45">
        <v>41848</v>
      </c>
      <c r="B181" s="74">
        <v>270</v>
      </c>
      <c r="D181" s="47" t="s">
        <v>1143</v>
      </c>
      <c r="E181">
        <v>1001</v>
      </c>
      <c r="F181">
        <v>96</v>
      </c>
      <c r="G181">
        <v>0.24509999999999998</v>
      </c>
      <c r="H181">
        <v>0.49</v>
      </c>
      <c r="I181">
        <v>0.24490000000000001</v>
      </c>
      <c r="J181" s="214">
        <v>23.510400000000001</v>
      </c>
      <c r="K181">
        <v>99.918400652794787</v>
      </c>
    </row>
    <row r="182" spans="1:11" hidden="1">
      <c r="A182" s="45">
        <v>41848</v>
      </c>
      <c r="B182" s="74">
        <v>270</v>
      </c>
      <c r="D182" s="47" t="s">
        <v>1143</v>
      </c>
      <c r="E182" t="s">
        <v>351</v>
      </c>
      <c r="F182">
        <v>1</v>
      </c>
      <c r="G182">
        <v>0</v>
      </c>
      <c r="H182">
        <v>0.02</v>
      </c>
      <c r="I182">
        <v>0.02</v>
      </c>
      <c r="J182" s="214">
        <v>0.02</v>
      </c>
      <c r="K182" t="s">
        <v>352</v>
      </c>
    </row>
    <row r="183" spans="1:11" hidden="1">
      <c r="A183" s="45">
        <v>41848</v>
      </c>
      <c r="B183" s="74">
        <v>303</v>
      </c>
      <c r="D183" s="47" t="s">
        <v>1147</v>
      </c>
      <c r="E183">
        <v>1001</v>
      </c>
      <c r="F183">
        <v>96</v>
      </c>
      <c r="G183">
        <v>0.24510000000000001</v>
      </c>
      <c r="H183">
        <v>0.59</v>
      </c>
      <c r="I183">
        <v>0.34489999999999998</v>
      </c>
      <c r="J183" s="214">
        <v>33.110399999999998</v>
      </c>
      <c r="K183">
        <v>140.71807425540592</v>
      </c>
    </row>
    <row r="184" spans="1:11" hidden="1">
      <c r="A184" s="45">
        <v>41848</v>
      </c>
      <c r="B184" s="74">
        <v>261</v>
      </c>
      <c r="D184" s="47" t="s">
        <v>1150</v>
      </c>
      <c r="E184">
        <v>1001</v>
      </c>
      <c r="F184">
        <v>48</v>
      </c>
      <c r="G184">
        <v>0.24509999999999998</v>
      </c>
      <c r="H184">
        <v>0.49</v>
      </c>
      <c r="I184">
        <v>0.24490000000000001</v>
      </c>
      <c r="J184" s="214">
        <v>11.7552</v>
      </c>
      <c r="K184">
        <v>99.918400652794787</v>
      </c>
    </row>
    <row r="185" spans="1:11" hidden="1">
      <c r="A185" s="45">
        <v>41848</v>
      </c>
      <c r="B185" s="74">
        <v>261</v>
      </c>
      <c r="D185" s="47" t="s">
        <v>1150</v>
      </c>
      <c r="E185" t="s">
        <v>351</v>
      </c>
      <c r="F185">
        <v>1</v>
      </c>
      <c r="G185">
        <v>0</v>
      </c>
      <c r="H185">
        <v>0.01</v>
      </c>
      <c r="I185">
        <v>0.01</v>
      </c>
      <c r="J185" s="214">
        <v>0.01</v>
      </c>
      <c r="K185" t="s">
        <v>352</v>
      </c>
    </row>
    <row r="186" spans="1:11" hidden="1">
      <c r="A186" s="45">
        <v>41849</v>
      </c>
      <c r="B186" s="74">
        <v>10</v>
      </c>
      <c r="D186" s="47" t="s">
        <v>1161</v>
      </c>
      <c r="E186">
        <v>1001</v>
      </c>
      <c r="F186">
        <v>480</v>
      </c>
      <c r="G186">
        <v>0.24510000000000001</v>
      </c>
      <c r="H186">
        <v>0.51</v>
      </c>
      <c r="I186">
        <v>0.26490000000000002</v>
      </c>
      <c r="J186" s="214">
        <v>127.152</v>
      </c>
      <c r="K186">
        <v>108.078335373317</v>
      </c>
    </row>
    <row r="187" spans="1:11" hidden="1">
      <c r="A187" s="45">
        <v>41849</v>
      </c>
      <c r="B187" s="74">
        <v>10</v>
      </c>
      <c r="D187" s="47" t="s">
        <v>1161</v>
      </c>
      <c r="E187" t="s">
        <v>351</v>
      </c>
      <c r="F187">
        <v>1</v>
      </c>
      <c r="G187">
        <v>0</v>
      </c>
      <c r="H187">
        <v>-1.31</v>
      </c>
      <c r="I187">
        <v>-1.31</v>
      </c>
      <c r="J187" s="214">
        <v>-1.31</v>
      </c>
      <c r="K187" t="s">
        <v>352</v>
      </c>
    </row>
    <row r="188" spans="1:11" hidden="1">
      <c r="A188" s="45">
        <v>41851</v>
      </c>
      <c r="B188" s="74">
        <v>275</v>
      </c>
      <c r="D188" s="47" t="s">
        <v>1183</v>
      </c>
      <c r="E188">
        <v>1001</v>
      </c>
      <c r="F188">
        <v>96</v>
      </c>
      <c r="G188">
        <v>0.24509999999999998</v>
      </c>
      <c r="H188">
        <v>0.54999999999999993</v>
      </c>
      <c r="I188">
        <v>0.30489999999999995</v>
      </c>
      <c r="J188" s="214">
        <v>29.270399999999995</v>
      </c>
      <c r="K188">
        <v>124.39820481436148</v>
      </c>
    </row>
    <row r="189" spans="1:11" hidden="1">
      <c r="A189" s="45">
        <v>41851</v>
      </c>
      <c r="B189" s="74">
        <v>276</v>
      </c>
      <c r="D189" s="47" t="s">
        <v>1195</v>
      </c>
      <c r="E189">
        <v>1001</v>
      </c>
      <c r="F189">
        <v>96</v>
      </c>
      <c r="G189">
        <v>0.24509999999999998</v>
      </c>
      <c r="H189">
        <v>0.54999999999999993</v>
      </c>
      <c r="I189">
        <v>0.30489999999999995</v>
      </c>
      <c r="J189" s="214">
        <v>29.270399999999995</v>
      </c>
      <c r="K189">
        <v>124.39820481436148</v>
      </c>
    </row>
    <row r="190" spans="1:11" hidden="1">
      <c r="A190" s="45">
        <v>41851</v>
      </c>
      <c r="B190" s="74">
        <v>277</v>
      </c>
      <c r="D190" s="47" t="s">
        <v>1204</v>
      </c>
      <c r="E190">
        <v>1001</v>
      </c>
      <c r="F190">
        <v>96</v>
      </c>
      <c r="G190">
        <v>0.24509999999999998</v>
      </c>
      <c r="H190">
        <v>0.54999999999999993</v>
      </c>
      <c r="I190">
        <v>0.30489999999999995</v>
      </c>
      <c r="J190" s="214">
        <v>29.270399999999995</v>
      </c>
      <c r="K190">
        <v>124.39820481436148</v>
      </c>
    </row>
    <row r="191" spans="1:11" hidden="1">
      <c r="A191" s="45">
        <v>41851</v>
      </c>
      <c r="B191" s="74">
        <v>306</v>
      </c>
      <c r="D191" s="47" t="s">
        <v>1219</v>
      </c>
      <c r="E191">
        <v>1001</v>
      </c>
      <c r="F191">
        <v>48</v>
      </c>
      <c r="G191">
        <v>0.24509999999999998</v>
      </c>
      <c r="H191">
        <v>0.49</v>
      </c>
      <c r="I191">
        <v>0.24490000000000001</v>
      </c>
      <c r="J191" s="214">
        <v>11.7552</v>
      </c>
      <c r="K191">
        <v>99.918400652794787</v>
      </c>
    </row>
    <row r="192" spans="1:11" hidden="1">
      <c r="A192" s="45">
        <v>41851</v>
      </c>
      <c r="B192" s="74">
        <v>306</v>
      </c>
      <c r="D192" s="47" t="s">
        <v>1219</v>
      </c>
      <c r="E192" t="s">
        <v>351</v>
      </c>
      <c r="F192">
        <v>1</v>
      </c>
      <c r="G192">
        <v>0</v>
      </c>
      <c r="H192">
        <v>0.01</v>
      </c>
      <c r="I192">
        <v>0.01</v>
      </c>
      <c r="J192" s="214">
        <v>0.01</v>
      </c>
      <c r="K192" t="s">
        <v>352</v>
      </c>
    </row>
    <row r="193" spans="1:11" hidden="1">
      <c r="A193" s="45">
        <v>41851</v>
      </c>
      <c r="B193" s="74">
        <v>411</v>
      </c>
      <c r="D193" s="47" t="s">
        <v>1222</v>
      </c>
      <c r="E193">
        <v>1001</v>
      </c>
      <c r="F193">
        <v>48</v>
      </c>
      <c r="G193">
        <v>0.24509999999999998</v>
      </c>
      <c r="H193">
        <v>0.49</v>
      </c>
      <c r="I193">
        <v>0.24490000000000001</v>
      </c>
      <c r="J193" s="214">
        <v>11.7552</v>
      </c>
      <c r="K193">
        <v>99.918400652794787</v>
      </c>
    </row>
    <row r="194" spans="1:11" hidden="1">
      <c r="A194" s="45">
        <v>41851</v>
      </c>
      <c r="B194" s="74">
        <v>411</v>
      </c>
      <c r="D194" s="47" t="s">
        <v>1222</v>
      </c>
      <c r="E194" t="s">
        <v>351</v>
      </c>
      <c r="F194">
        <v>1</v>
      </c>
      <c r="G194">
        <v>0</v>
      </c>
      <c r="H194">
        <v>0.01</v>
      </c>
      <c r="I194">
        <v>0.01</v>
      </c>
      <c r="J194" s="214">
        <v>0.01</v>
      </c>
      <c r="K194" t="s">
        <v>352</v>
      </c>
    </row>
  </sheetData>
  <autoFilter ref="A9:B194">
    <filterColumn colId="0">
      <customFilters and="1">
        <customFilter operator="greaterThanOrEqual" val="41852"/>
        <customFilter operator="lessThanOrEqual" val="41882"/>
      </customFilters>
    </filterColumn>
  </autoFilter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B1:BK161"/>
  <sheetViews>
    <sheetView workbookViewId="0">
      <selection activeCell="G7" sqref="G7"/>
    </sheetView>
  </sheetViews>
  <sheetFormatPr baseColWidth="10" defaultRowHeight="15"/>
  <cols>
    <col min="1" max="1" width="1.7109375" style="1" customWidth="1"/>
    <col min="2" max="2" width="0.85546875" style="1" customWidth="1"/>
    <col min="3" max="3" width="6.7109375" style="1" bestFit="1" customWidth="1"/>
    <col min="4" max="4" width="11.42578125" style="1" customWidth="1"/>
    <col min="5" max="5" width="0.85546875" style="1" customWidth="1"/>
    <col min="6" max="6" width="11.28515625" style="1" bestFit="1" customWidth="1"/>
    <col min="7" max="7" width="8.7109375" style="1" customWidth="1"/>
    <col min="8" max="8" width="0.85546875" style="1" customWidth="1"/>
    <col min="9" max="9" width="1.7109375" style="2" customWidth="1"/>
    <col min="10" max="10" width="1.7109375" style="1" customWidth="1"/>
    <col min="11" max="11" width="0.85546875" style="1" customWidth="1"/>
    <col min="12" max="12" width="5" style="1" bestFit="1" customWidth="1"/>
    <col min="13" max="13" width="16.7109375" style="1" bestFit="1" customWidth="1"/>
    <col min="14" max="14" width="0.85546875" style="1" customWidth="1"/>
    <col min="15" max="15" width="14.42578125" style="1" bestFit="1" customWidth="1"/>
    <col min="16" max="16" width="11.42578125" style="1"/>
    <col min="17" max="17" width="0.85546875" style="1" customWidth="1"/>
    <col min="18" max="18" width="1.7109375" style="2" customWidth="1"/>
    <col min="19" max="19" width="1.7109375" style="1" customWidth="1"/>
    <col min="20" max="20" width="0.85546875" style="1" customWidth="1"/>
    <col min="21" max="21" width="5" style="1" bestFit="1" customWidth="1"/>
    <col min="22" max="22" width="13.85546875" style="1" bestFit="1" customWidth="1"/>
    <col min="23" max="23" width="0.85546875" style="1" customWidth="1"/>
    <col min="24" max="24" width="11.28515625" style="1" bestFit="1" customWidth="1"/>
    <col min="25" max="25" width="11.42578125" style="1"/>
    <col min="26" max="26" width="0.85546875" style="1" customWidth="1"/>
    <col min="27" max="27" width="1.7109375" style="2" customWidth="1"/>
    <col min="28" max="28" width="1.7109375" style="1" customWidth="1"/>
    <col min="29" max="29" width="0.85546875" style="1" customWidth="1"/>
    <col min="30" max="30" width="5" style="1" bestFit="1" customWidth="1"/>
    <col min="31" max="31" width="19.7109375" style="1" bestFit="1" customWidth="1"/>
    <col min="32" max="32" width="0.85546875" style="1" customWidth="1"/>
    <col min="33" max="33" width="11.28515625" style="1" bestFit="1" customWidth="1"/>
    <col min="34" max="34" width="11.42578125" style="1"/>
    <col min="35" max="35" width="0.85546875" style="1" customWidth="1"/>
    <col min="36" max="36" width="1.7109375" style="2" customWidth="1"/>
    <col min="37" max="37" width="1.7109375" style="1" customWidth="1"/>
    <col min="38" max="38" width="0.7109375" style="1" customWidth="1"/>
    <col min="39" max="39" width="5" style="1" bestFit="1" customWidth="1"/>
    <col min="40" max="40" width="11.42578125" style="1" customWidth="1"/>
    <col min="41" max="41" width="0.85546875" style="1" customWidth="1"/>
    <col min="42" max="42" width="11.28515625" style="1" bestFit="1" customWidth="1"/>
    <col min="43" max="43" width="11.42578125" style="1"/>
    <col min="44" max="44" width="0.85546875" style="1" customWidth="1"/>
    <col min="45" max="45" width="1.7109375" style="2" customWidth="1"/>
    <col min="46" max="46" width="1.7109375" style="1" customWidth="1"/>
    <col min="47" max="47" width="0.85546875" style="1" customWidth="1"/>
    <col min="48" max="48" width="5" style="1" bestFit="1" customWidth="1"/>
    <col min="49" max="49" width="18.7109375" style="1" bestFit="1" customWidth="1"/>
    <col min="50" max="50" width="0.85546875" style="1" customWidth="1"/>
    <col min="51" max="51" width="13.5703125" style="1" bestFit="1" customWidth="1"/>
    <col min="52" max="52" width="11.42578125" style="1"/>
    <col min="53" max="53" width="0.85546875" style="1" customWidth="1"/>
    <col min="54" max="54" width="1.7109375" style="2" customWidth="1"/>
    <col min="55" max="55" width="1.7109375" style="1" customWidth="1"/>
    <col min="56" max="56" width="0.85546875" style="1" customWidth="1"/>
    <col min="57" max="57" width="5" style="1" bestFit="1" customWidth="1"/>
    <col min="58" max="58" width="18.7109375" style="1" bestFit="1" customWidth="1"/>
    <col min="59" max="59" width="0.85546875" style="1" customWidth="1"/>
    <col min="60" max="60" width="13.5703125" style="1" bestFit="1" customWidth="1"/>
    <col min="61" max="61" width="11.42578125" style="1"/>
    <col min="62" max="62" width="0.85546875" style="1" customWidth="1"/>
    <col min="63" max="63" width="1.7109375" style="2" customWidth="1"/>
    <col min="64" max="16384" width="11.42578125" style="1"/>
  </cols>
  <sheetData>
    <row r="1" spans="2:62">
      <c r="C1" s="1" t="s">
        <v>0</v>
      </c>
      <c r="L1" s="1" t="s">
        <v>1</v>
      </c>
      <c r="U1" s="1" t="s">
        <v>2</v>
      </c>
      <c r="AD1" s="1" t="s">
        <v>3</v>
      </c>
      <c r="AM1" s="1" t="s">
        <v>4</v>
      </c>
      <c r="AV1" s="1" t="s">
        <v>5</v>
      </c>
      <c r="BE1" s="1" t="s">
        <v>420</v>
      </c>
    </row>
    <row r="2" spans="2:62" ht="16.5" customHeight="1" thickBot="1">
      <c r="P2" s="215"/>
    </row>
    <row r="3" spans="2:62" ht="6" customHeight="1" thickBot="1">
      <c r="B3" s="3"/>
      <c r="C3" s="4"/>
      <c r="D3" s="4"/>
      <c r="E3" s="4"/>
      <c r="F3" s="4"/>
      <c r="G3" s="4"/>
      <c r="H3" s="5"/>
      <c r="K3" s="3"/>
      <c r="L3" s="4"/>
      <c r="M3" s="4"/>
      <c r="N3" s="4"/>
      <c r="O3" s="4"/>
      <c r="P3" s="4"/>
      <c r="Q3" s="5"/>
      <c r="T3" s="3"/>
      <c r="U3" s="4"/>
      <c r="V3" s="4"/>
      <c r="W3" s="4"/>
      <c r="X3" s="4"/>
      <c r="Y3" s="4"/>
      <c r="Z3" s="5"/>
      <c r="AC3" s="3"/>
      <c r="AD3" s="4"/>
      <c r="AE3" s="4"/>
      <c r="AF3" s="4"/>
      <c r="AG3" s="4"/>
      <c r="AH3" s="4"/>
      <c r="AI3" s="5"/>
      <c r="AL3" s="3"/>
      <c r="AM3" s="4"/>
      <c r="AN3" s="4"/>
      <c r="AO3" s="4"/>
      <c r="AP3" s="4"/>
      <c r="AQ3" s="4"/>
      <c r="AR3" s="5"/>
      <c r="AU3" s="3"/>
      <c r="AV3" s="4"/>
      <c r="AW3" s="4"/>
      <c r="AX3" s="4"/>
      <c r="AY3" s="4"/>
      <c r="AZ3" s="4"/>
      <c r="BA3" s="5"/>
      <c r="BD3" s="3"/>
      <c r="BE3" s="4"/>
      <c r="BF3" s="4"/>
      <c r="BG3" s="4"/>
      <c r="BH3" s="4"/>
      <c r="BI3" s="4"/>
      <c r="BJ3" s="5"/>
    </row>
    <row r="4" spans="2:62" ht="21.75" thickBot="1">
      <c r="B4" s="6"/>
      <c r="C4" s="7" t="s">
        <v>6</v>
      </c>
      <c r="D4" s="8" t="s">
        <v>7</v>
      </c>
      <c r="E4" s="9"/>
      <c r="F4" s="10" t="s">
        <v>8</v>
      </c>
      <c r="H4" s="2"/>
      <c r="K4" s="6"/>
      <c r="L4" s="7" t="s">
        <v>429</v>
      </c>
      <c r="M4" s="8" t="s">
        <v>171</v>
      </c>
      <c r="N4" s="9"/>
      <c r="O4" s="10" t="s">
        <v>430</v>
      </c>
      <c r="Q4" s="2"/>
      <c r="T4" s="6"/>
      <c r="U4" s="7" t="s">
        <v>10</v>
      </c>
      <c r="V4" s="8" t="s">
        <v>449</v>
      </c>
      <c r="W4" s="9"/>
      <c r="X4" s="10" t="s">
        <v>2</v>
      </c>
      <c r="Z4" s="2"/>
      <c r="AC4" s="6"/>
      <c r="AD4" s="7" t="s">
        <v>11</v>
      </c>
      <c r="AE4" s="8" t="s">
        <v>12</v>
      </c>
      <c r="AF4" s="9"/>
      <c r="AG4" s="10" t="s">
        <v>3</v>
      </c>
      <c r="AI4" s="2"/>
      <c r="AL4" s="6"/>
      <c r="AM4" s="7" t="s">
        <v>13</v>
      </c>
      <c r="AN4" s="8" t="s">
        <v>472</v>
      </c>
      <c r="AO4" s="9"/>
      <c r="AP4" s="10" t="s">
        <v>14</v>
      </c>
      <c r="AR4" s="2"/>
      <c r="AU4" s="6"/>
      <c r="AV4" s="7" t="s">
        <v>15</v>
      </c>
      <c r="AW4" s="8" t="s">
        <v>16</v>
      </c>
      <c r="AX4" s="9"/>
      <c r="AY4" s="10" t="s">
        <v>5</v>
      </c>
      <c r="BA4" s="2"/>
      <c r="BD4" s="6"/>
      <c r="BE4" s="7" t="s">
        <v>419</v>
      </c>
      <c r="BF4" s="217" t="s">
        <v>431</v>
      </c>
      <c r="BG4" s="9"/>
      <c r="BH4" s="10" t="s">
        <v>420</v>
      </c>
      <c r="BJ4" s="2"/>
    </row>
    <row r="5" spans="2:62" ht="15.75" thickBot="1">
      <c r="B5" s="6"/>
      <c r="C5" s="12"/>
      <c r="D5" s="13"/>
      <c r="E5" s="9"/>
      <c r="F5" s="14" t="s">
        <v>17</v>
      </c>
      <c r="G5" s="15">
        <v>2438</v>
      </c>
      <c r="H5" s="2"/>
      <c r="K5" s="6"/>
      <c r="L5" s="12"/>
      <c r="M5" s="13"/>
      <c r="N5" s="9"/>
      <c r="O5" s="14" t="s">
        <v>17</v>
      </c>
      <c r="P5" s="15">
        <v>0</v>
      </c>
      <c r="Q5" s="2"/>
      <c r="T5" s="6"/>
      <c r="U5" s="12"/>
      <c r="V5" s="13"/>
      <c r="W5" s="9"/>
      <c r="X5" s="14" t="s">
        <v>17</v>
      </c>
      <c r="Y5" s="15">
        <v>0</v>
      </c>
      <c r="Z5" s="2"/>
      <c r="AC5" s="6"/>
      <c r="AD5" s="12"/>
      <c r="AE5" s="13"/>
      <c r="AF5" s="9"/>
      <c r="AG5" s="14" t="s">
        <v>17</v>
      </c>
      <c r="AH5" s="15">
        <v>0</v>
      </c>
      <c r="AI5" s="2"/>
      <c r="AL5" s="6"/>
      <c r="AM5" s="12"/>
      <c r="AN5" s="13"/>
      <c r="AO5" s="9"/>
      <c r="AP5" s="14" t="s">
        <v>17</v>
      </c>
      <c r="AQ5" s="15">
        <v>5</v>
      </c>
      <c r="AR5" s="2"/>
      <c r="AU5" s="6"/>
      <c r="AV5" s="12"/>
      <c r="AW5" s="13"/>
      <c r="AX5" s="9"/>
      <c r="AY5" s="14" t="s">
        <v>17</v>
      </c>
      <c r="AZ5" s="15">
        <v>0</v>
      </c>
      <c r="BA5" s="2"/>
      <c r="BD5" s="6"/>
      <c r="BE5" s="12"/>
      <c r="BF5" s="13"/>
      <c r="BG5" s="9"/>
      <c r="BH5" s="14" t="s">
        <v>17</v>
      </c>
      <c r="BI5" s="15">
        <v>1000</v>
      </c>
      <c r="BJ5" s="2"/>
    </row>
    <row r="6" spans="2:62">
      <c r="B6" s="6"/>
      <c r="C6" s="12"/>
      <c r="D6" s="16"/>
      <c r="E6" s="9"/>
      <c r="F6" s="17" t="s">
        <v>18</v>
      </c>
      <c r="G6" s="18">
        <v>0.24510000000000001</v>
      </c>
      <c r="H6" s="2"/>
      <c r="K6" s="6"/>
      <c r="L6" s="12"/>
      <c r="M6" s="16"/>
      <c r="N6" s="9"/>
      <c r="O6" s="17" t="s">
        <v>18</v>
      </c>
      <c r="P6" s="18">
        <v>0</v>
      </c>
      <c r="Q6" s="2"/>
      <c r="T6" s="6"/>
      <c r="U6" s="12"/>
      <c r="V6" s="16"/>
      <c r="W6" s="9"/>
      <c r="X6" s="17" t="s">
        <v>18</v>
      </c>
      <c r="Y6" s="18">
        <v>0</v>
      </c>
      <c r="Z6" s="2"/>
      <c r="AC6" s="6"/>
      <c r="AD6" s="12"/>
      <c r="AE6" s="16"/>
      <c r="AF6" s="9"/>
      <c r="AG6" s="17" t="s">
        <v>18</v>
      </c>
      <c r="AH6" s="18">
        <v>0</v>
      </c>
      <c r="AI6" s="2"/>
      <c r="AL6" s="6"/>
      <c r="AM6" s="12"/>
      <c r="AN6" s="16"/>
      <c r="AO6" s="9"/>
      <c r="AP6" s="17" t="s">
        <v>18</v>
      </c>
      <c r="AQ6" s="18">
        <v>1.0567</v>
      </c>
      <c r="AR6" s="2"/>
      <c r="AU6" s="6"/>
      <c r="AV6" s="12"/>
      <c r="AW6" s="16"/>
      <c r="AX6" s="9"/>
      <c r="AY6" s="17" t="s">
        <v>18</v>
      </c>
      <c r="AZ6" s="18">
        <v>0</v>
      </c>
      <c r="BA6" s="2"/>
      <c r="BD6" s="6"/>
      <c r="BE6" s="12"/>
      <c r="BF6" s="16"/>
      <c r="BG6" s="9"/>
      <c r="BH6" s="17" t="s">
        <v>18</v>
      </c>
      <c r="BI6" s="18">
        <v>10.9</v>
      </c>
      <c r="BJ6" s="2"/>
    </row>
    <row r="7" spans="2:62">
      <c r="B7" s="6"/>
      <c r="C7" s="12"/>
      <c r="D7" s="9"/>
      <c r="E7" s="9"/>
      <c r="F7" s="19" t="s">
        <v>19</v>
      </c>
      <c r="G7" s="20">
        <f>G5/24</f>
        <v>101.58333333333333</v>
      </c>
      <c r="H7" s="2"/>
      <c r="K7" s="6"/>
      <c r="L7" s="12"/>
      <c r="M7" s="9"/>
      <c r="N7" s="9"/>
      <c r="O7" s="19"/>
      <c r="P7" s="20"/>
      <c r="Q7" s="2"/>
      <c r="T7" s="6"/>
      <c r="U7" s="12"/>
      <c r="V7" s="9"/>
      <c r="W7" s="9"/>
      <c r="X7" s="19"/>
      <c r="Y7" s="20"/>
      <c r="Z7" s="2"/>
      <c r="AC7" s="6"/>
      <c r="AD7" s="12"/>
      <c r="AE7" s="9"/>
      <c r="AF7" s="9"/>
      <c r="AG7" s="19"/>
      <c r="AH7" s="20"/>
      <c r="AI7" s="2"/>
      <c r="AL7" s="6"/>
      <c r="AM7" s="12"/>
      <c r="AN7" s="9"/>
      <c r="AO7" s="9"/>
      <c r="AP7" s="19"/>
      <c r="AQ7" s="20"/>
      <c r="AR7" s="2"/>
      <c r="AU7" s="6"/>
      <c r="AV7" s="12"/>
      <c r="AW7" s="9"/>
      <c r="AX7" s="9"/>
      <c r="AY7" s="19"/>
      <c r="AZ7" s="20"/>
      <c r="BA7" s="2"/>
      <c r="BD7" s="6"/>
      <c r="BE7" s="12"/>
      <c r="BF7" s="9"/>
      <c r="BG7" s="9"/>
      <c r="BH7" s="19"/>
      <c r="BI7" s="20"/>
      <c r="BJ7" s="2"/>
    </row>
    <row r="8" spans="2:62" ht="15.75" thickBot="1">
      <c r="B8" s="6"/>
      <c r="C8" s="12"/>
      <c r="D8" s="12"/>
      <c r="E8" s="12"/>
      <c r="F8" s="23" t="s">
        <v>21</v>
      </c>
      <c r="G8" s="24">
        <f>G6*24</f>
        <v>5.8824000000000005</v>
      </c>
      <c r="H8" s="2"/>
      <c r="K8" s="6"/>
      <c r="L8" s="12"/>
      <c r="M8" s="12"/>
      <c r="N8" s="12"/>
      <c r="O8" s="23"/>
      <c r="P8" s="24"/>
      <c r="Q8" s="2"/>
      <c r="T8" s="6"/>
      <c r="U8" s="12"/>
      <c r="V8" s="12"/>
      <c r="W8" s="12"/>
      <c r="X8" s="23"/>
      <c r="Y8" s="24"/>
      <c r="Z8" s="2"/>
      <c r="AC8" s="6"/>
      <c r="AD8" s="12"/>
      <c r="AE8" s="12"/>
      <c r="AF8" s="12"/>
      <c r="AG8" s="23"/>
      <c r="AH8" s="24"/>
      <c r="AI8" s="2"/>
      <c r="AL8" s="6"/>
      <c r="AM8" s="12"/>
      <c r="AN8" s="12"/>
      <c r="AO8" s="12"/>
      <c r="AP8" s="23"/>
      <c r="AQ8" s="24"/>
      <c r="AR8" s="2"/>
      <c r="AU8" s="6"/>
      <c r="AV8" s="12"/>
      <c r="AW8" s="12"/>
      <c r="AX8" s="12"/>
      <c r="AY8" s="23"/>
      <c r="AZ8" s="24"/>
      <c r="BA8" s="2"/>
      <c r="BD8" s="6"/>
      <c r="BE8" s="12"/>
      <c r="BF8" s="12"/>
      <c r="BG8" s="12"/>
      <c r="BH8" s="23"/>
      <c r="BI8" s="24"/>
      <c r="BJ8" s="2"/>
    </row>
    <row r="9" spans="2:62" ht="6" customHeight="1" thickBot="1">
      <c r="B9" s="26"/>
      <c r="C9" s="27"/>
      <c r="D9" s="27"/>
      <c r="E9" s="27"/>
      <c r="F9" s="27"/>
      <c r="G9" s="27"/>
      <c r="H9" s="28"/>
      <c r="K9" s="26"/>
      <c r="L9" s="27"/>
      <c r="M9" s="27"/>
      <c r="N9" s="27"/>
      <c r="O9" s="27"/>
      <c r="P9" s="27"/>
      <c r="Q9" s="28"/>
      <c r="T9" s="26"/>
      <c r="U9" s="27"/>
      <c r="V9" s="27"/>
      <c r="W9" s="27"/>
      <c r="X9" s="27"/>
      <c r="Y9" s="27"/>
      <c r="Z9" s="28"/>
      <c r="AC9" s="26"/>
      <c r="AD9" s="27"/>
      <c r="AE9" s="27"/>
      <c r="AF9" s="27"/>
      <c r="AG9" s="27"/>
      <c r="AH9" s="27"/>
      <c r="AI9" s="28"/>
      <c r="AL9" s="26"/>
      <c r="AM9" s="27"/>
      <c r="AN9" s="27"/>
      <c r="AO9" s="27"/>
      <c r="AP9" s="27"/>
      <c r="AQ9" s="27"/>
      <c r="AR9" s="28"/>
      <c r="AU9" s="26"/>
      <c r="AV9" s="27"/>
      <c r="AW9" s="27"/>
      <c r="AX9" s="27"/>
      <c r="AY9" s="27"/>
      <c r="AZ9" s="27"/>
      <c r="BA9" s="28"/>
      <c r="BD9" s="26"/>
      <c r="BE9" s="27"/>
      <c r="BF9" s="27"/>
      <c r="BG9" s="27"/>
      <c r="BH9" s="27"/>
      <c r="BI9" s="27"/>
      <c r="BJ9" s="28"/>
    </row>
    <row r="10" spans="2:62" ht="15.75" thickBot="1"/>
    <row r="11" spans="2:62" ht="4.5" customHeight="1" thickBot="1">
      <c r="K11" s="3"/>
      <c r="L11" s="4"/>
      <c r="M11" s="4"/>
      <c r="N11" s="4"/>
      <c r="O11" s="4"/>
      <c r="P11" s="4"/>
      <c r="Q11" s="5"/>
      <c r="T11" s="3"/>
      <c r="U11" s="4"/>
      <c r="V11" s="4"/>
      <c r="W11" s="4"/>
      <c r="X11" s="4"/>
      <c r="Y11" s="4"/>
      <c r="Z11" s="5"/>
      <c r="AC11" s="3"/>
      <c r="AD11" s="4"/>
      <c r="AE11" s="4"/>
      <c r="AF11" s="4"/>
      <c r="AG11" s="4"/>
      <c r="AH11" s="4"/>
      <c r="AI11" s="5"/>
      <c r="AL11" s="3"/>
      <c r="AM11" s="4"/>
      <c r="AN11" s="4"/>
      <c r="AO11" s="4"/>
      <c r="AP11" s="4"/>
      <c r="AQ11" s="4"/>
      <c r="AR11" s="5"/>
      <c r="AU11" s="3"/>
      <c r="AV11" s="4"/>
      <c r="AW11" s="4"/>
      <c r="AX11" s="4"/>
      <c r="AY11" s="4"/>
      <c r="AZ11" s="4"/>
      <c r="BA11" s="5"/>
      <c r="BD11" s="3"/>
      <c r="BE11" s="4"/>
      <c r="BF11" s="4"/>
      <c r="BG11" s="4"/>
      <c r="BH11" s="4"/>
      <c r="BI11" s="4"/>
      <c r="BJ11" s="5"/>
    </row>
    <row r="12" spans="2:62" ht="21.75" thickBot="1">
      <c r="K12" s="6"/>
      <c r="L12" s="7" t="s">
        <v>9</v>
      </c>
      <c r="M12" s="11" t="s">
        <v>46</v>
      </c>
      <c r="N12" s="9"/>
      <c r="O12" s="29" t="s">
        <v>1</v>
      </c>
      <c r="Q12" s="2"/>
      <c r="T12" s="6"/>
      <c r="U12" s="7" t="s">
        <v>24</v>
      </c>
      <c r="V12" s="8" t="s">
        <v>450</v>
      </c>
      <c r="W12" s="9"/>
      <c r="X12" s="10" t="s">
        <v>2</v>
      </c>
      <c r="Z12" s="2"/>
      <c r="AC12" s="6"/>
      <c r="AD12" s="7" t="s">
        <v>25</v>
      </c>
      <c r="AE12" s="8" t="s">
        <v>26</v>
      </c>
      <c r="AF12" s="9"/>
      <c r="AG12" s="10" t="s">
        <v>3</v>
      </c>
      <c r="AI12" s="2"/>
      <c r="AL12" s="6"/>
      <c r="AM12" s="7" t="s">
        <v>27</v>
      </c>
      <c r="AN12" s="8" t="s">
        <v>473</v>
      </c>
      <c r="AO12" s="9"/>
      <c r="AP12" s="10" t="s">
        <v>14</v>
      </c>
      <c r="AR12" s="2"/>
      <c r="AU12" s="6"/>
      <c r="AV12" s="7" t="s">
        <v>28</v>
      </c>
      <c r="AW12" s="8" t="s">
        <v>171</v>
      </c>
      <c r="AX12" s="9"/>
      <c r="AY12" s="10" t="s">
        <v>444</v>
      </c>
      <c r="BA12" s="2"/>
      <c r="BD12" s="6"/>
      <c r="BE12" s="7" t="s">
        <v>421</v>
      </c>
      <c r="BF12" s="8" t="s">
        <v>432</v>
      </c>
      <c r="BG12" s="9"/>
      <c r="BH12" s="10" t="s">
        <v>420</v>
      </c>
      <c r="BJ12" s="2"/>
    </row>
    <row r="13" spans="2:62" ht="15.75" thickBot="1">
      <c r="K13" s="6"/>
      <c r="L13" s="12"/>
      <c r="M13" s="13"/>
      <c r="N13" s="9"/>
      <c r="O13" s="14" t="s">
        <v>17</v>
      </c>
      <c r="P13" s="15">
        <v>100</v>
      </c>
      <c r="Q13" s="2"/>
      <c r="T13" s="6"/>
      <c r="U13" s="12"/>
      <c r="V13" s="13"/>
      <c r="W13" s="9"/>
      <c r="X13" s="14" t="s">
        <v>17</v>
      </c>
      <c r="Y13" s="15">
        <v>0</v>
      </c>
      <c r="Z13" s="2"/>
      <c r="AC13" s="6"/>
      <c r="AD13" s="12"/>
      <c r="AE13" s="13"/>
      <c r="AF13" s="9"/>
      <c r="AG13" s="14" t="s">
        <v>17</v>
      </c>
      <c r="AH13" s="15">
        <v>0</v>
      </c>
      <c r="AI13" s="2"/>
      <c r="AL13" s="6"/>
      <c r="AM13" s="12"/>
      <c r="AN13" s="13"/>
      <c r="AO13" s="9"/>
      <c r="AP13" s="14" t="s">
        <v>17</v>
      </c>
      <c r="AQ13" s="15">
        <v>3</v>
      </c>
      <c r="AR13" s="2"/>
      <c r="AU13" s="6"/>
      <c r="AV13" s="12"/>
      <c r="AW13" s="13"/>
      <c r="AX13" s="9"/>
      <c r="AY13" s="14" t="s">
        <v>17</v>
      </c>
      <c r="AZ13" s="15">
        <v>0</v>
      </c>
      <c r="BA13" s="2"/>
      <c r="BD13" s="6"/>
      <c r="BE13" s="12"/>
      <c r="BF13" s="13"/>
      <c r="BG13" s="9"/>
      <c r="BH13" s="14" t="s">
        <v>17</v>
      </c>
      <c r="BI13" s="15">
        <v>1000</v>
      </c>
      <c r="BJ13" s="2"/>
    </row>
    <row r="14" spans="2:62">
      <c r="K14" s="6"/>
      <c r="L14" s="12"/>
      <c r="M14" s="16"/>
      <c r="N14" s="9"/>
      <c r="O14" s="17" t="s">
        <v>18</v>
      </c>
      <c r="P14" s="18">
        <v>0.50885086617927522</v>
      </c>
      <c r="Q14" s="2"/>
      <c r="T14" s="6"/>
      <c r="U14" s="12"/>
      <c r="V14" s="16"/>
      <c r="W14" s="9"/>
      <c r="X14" s="17" t="s">
        <v>18</v>
      </c>
      <c r="Y14" s="18">
        <v>8.6549999999999994</v>
      </c>
      <c r="Z14" s="2"/>
      <c r="AC14" s="6"/>
      <c r="AD14" s="12"/>
      <c r="AE14" s="16"/>
      <c r="AF14" s="9"/>
      <c r="AG14" s="17" t="s">
        <v>18</v>
      </c>
      <c r="AH14" s="18">
        <v>0</v>
      </c>
      <c r="AI14" s="2"/>
      <c r="AL14" s="6"/>
      <c r="AM14" s="12"/>
      <c r="AN14" s="16"/>
      <c r="AO14" s="9"/>
      <c r="AP14" s="17" t="s">
        <v>18</v>
      </c>
      <c r="AQ14" s="18">
        <v>3.6393</v>
      </c>
      <c r="AR14" s="2"/>
      <c r="AU14" s="6"/>
      <c r="AV14" s="12"/>
      <c r="AW14" s="16"/>
      <c r="AX14" s="9"/>
      <c r="AY14" s="17" t="s">
        <v>18</v>
      </c>
      <c r="AZ14" s="18">
        <v>0</v>
      </c>
      <c r="BA14" s="2"/>
      <c r="BD14" s="6"/>
      <c r="BE14" s="12"/>
      <c r="BF14" s="16"/>
      <c r="BG14" s="9"/>
      <c r="BH14" s="17" t="s">
        <v>18</v>
      </c>
      <c r="BI14" s="18">
        <v>9.9</v>
      </c>
      <c r="BJ14" s="2"/>
    </row>
    <row r="15" spans="2:62">
      <c r="K15" s="6"/>
      <c r="L15" s="12"/>
      <c r="M15" s="9"/>
      <c r="N15" s="9"/>
      <c r="O15" s="21" t="s">
        <v>20</v>
      </c>
      <c r="P15" s="22">
        <f>P13/36</f>
        <v>2.7777777777777777</v>
      </c>
      <c r="Q15" s="2"/>
      <c r="T15" s="6"/>
      <c r="U15" s="12"/>
      <c r="V15" s="9"/>
      <c r="W15" s="9"/>
      <c r="X15" s="19"/>
      <c r="Y15" s="20"/>
      <c r="Z15" s="2"/>
      <c r="AC15" s="6"/>
      <c r="AD15" s="12"/>
      <c r="AE15" s="9"/>
      <c r="AF15" s="9"/>
      <c r="AG15" s="19"/>
      <c r="AH15" s="20"/>
      <c r="AI15" s="2"/>
      <c r="AL15" s="6"/>
      <c r="AM15" s="12"/>
      <c r="AN15" s="9"/>
      <c r="AO15" s="9"/>
      <c r="AP15" s="19"/>
      <c r="AQ15" s="20"/>
      <c r="AR15" s="2"/>
      <c r="AU15" s="6"/>
      <c r="AV15" s="12"/>
      <c r="AW15" s="9"/>
      <c r="AX15" s="9"/>
      <c r="AY15" s="19"/>
      <c r="AZ15" s="20"/>
      <c r="BA15" s="2"/>
      <c r="BD15" s="6"/>
      <c r="BE15" s="12"/>
      <c r="BF15" s="9"/>
      <c r="BG15" s="9"/>
      <c r="BH15" s="19"/>
      <c r="BI15" s="20"/>
      <c r="BJ15" s="2"/>
    </row>
    <row r="16" spans="2:62" ht="15.75" thickBot="1">
      <c r="K16" s="6"/>
      <c r="L16" s="12"/>
      <c r="M16" s="12"/>
      <c r="N16" s="12"/>
      <c r="O16" s="25" t="s">
        <v>22</v>
      </c>
      <c r="P16" s="24">
        <f>P14*24</f>
        <v>12.212420788302605</v>
      </c>
      <c r="Q16" s="2"/>
      <c r="T16" s="6"/>
      <c r="U16" s="12"/>
      <c r="V16" s="12"/>
      <c r="W16" s="12"/>
      <c r="X16" s="23"/>
      <c r="Y16" s="24"/>
      <c r="Z16" s="2"/>
      <c r="AC16" s="6"/>
      <c r="AD16" s="12"/>
      <c r="AE16" s="12"/>
      <c r="AF16" s="12"/>
      <c r="AG16" s="23"/>
      <c r="AH16" s="24"/>
      <c r="AI16" s="2"/>
      <c r="AL16" s="6"/>
      <c r="AM16" s="12"/>
      <c r="AN16" s="12"/>
      <c r="AO16" s="12"/>
      <c r="AP16" s="23"/>
      <c r="AQ16" s="24"/>
      <c r="AR16" s="2"/>
      <c r="AU16" s="6"/>
      <c r="AV16" s="12"/>
      <c r="AW16" s="12"/>
      <c r="AX16" s="12"/>
      <c r="AY16" s="23"/>
      <c r="AZ16" s="24"/>
      <c r="BA16" s="2"/>
      <c r="BD16" s="6"/>
      <c r="BE16" s="12"/>
      <c r="BF16" s="12"/>
      <c r="BG16" s="12"/>
      <c r="BH16" s="23"/>
      <c r="BI16" s="24"/>
      <c r="BJ16" s="2"/>
    </row>
    <row r="17" spans="11:62" ht="4.5" customHeight="1" thickBot="1">
      <c r="K17" s="26"/>
      <c r="L17" s="27"/>
      <c r="M17" s="27"/>
      <c r="N17" s="27"/>
      <c r="O17" s="27"/>
      <c r="P17" s="27"/>
      <c r="Q17" s="28"/>
      <c r="T17" s="26"/>
      <c r="U17" s="27"/>
      <c r="V17" s="27"/>
      <c r="W17" s="27"/>
      <c r="X17" s="27"/>
      <c r="Y17" s="27"/>
      <c r="Z17" s="28"/>
      <c r="AC17" s="26"/>
      <c r="AD17" s="27"/>
      <c r="AE17" s="27"/>
      <c r="AF17" s="27"/>
      <c r="AG17" s="27"/>
      <c r="AH17" s="27"/>
      <c r="AI17" s="28"/>
      <c r="AL17" s="26"/>
      <c r="AM17" s="27"/>
      <c r="AN17" s="27"/>
      <c r="AO17" s="27"/>
      <c r="AP17" s="27"/>
      <c r="AQ17" s="27"/>
      <c r="AR17" s="28"/>
      <c r="AU17" s="26"/>
      <c r="AV17" s="27"/>
      <c r="AW17" s="27"/>
      <c r="AX17" s="27"/>
      <c r="AY17" s="27"/>
      <c r="AZ17" s="27"/>
      <c r="BA17" s="28"/>
      <c r="BD17" s="26"/>
      <c r="BE17" s="27"/>
      <c r="BF17" s="27"/>
      <c r="BG17" s="27"/>
      <c r="BH17" s="27"/>
      <c r="BI17" s="27"/>
      <c r="BJ17" s="28"/>
    </row>
    <row r="18" spans="11:62" ht="15.75" thickBot="1"/>
    <row r="19" spans="11:62" ht="4.5" customHeight="1" thickBot="1">
      <c r="K19" s="3"/>
      <c r="L19" s="4"/>
      <c r="M19" s="4"/>
      <c r="N19" s="4"/>
      <c r="O19" s="4"/>
      <c r="P19" s="4"/>
      <c r="Q19" s="5"/>
      <c r="T19" s="3"/>
      <c r="U19" s="4"/>
      <c r="V19" s="4"/>
      <c r="W19" s="4"/>
      <c r="X19" s="4"/>
      <c r="Y19" s="4"/>
      <c r="Z19" s="5"/>
      <c r="AC19" s="3"/>
      <c r="AD19" s="4"/>
      <c r="AE19" s="4"/>
      <c r="AF19" s="4"/>
      <c r="AG19" s="4"/>
      <c r="AH19" s="4"/>
      <c r="AI19" s="5"/>
      <c r="AL19" s="3"/>
      <c r="AM19" s="4"/>
      <c r="AN19" s="4"/>
      <c r="AO19" s="4"/>
      <c r="AP19" s="4"/>
      <c r="AQ19" s="4"/>
      <c r="AR19" s="5"/>
      <c r="AU19" s="3"/>
      <c r="AV19" s="4"/>
      <c r="AW19" s="4"/>
      <c r="AX19" s="4"/>
      <c r="AY19" s="4"/>
      <c r="AZ19" s="4"/>
      <c r="BA19" s="5"/>
      <c r="BD19" s="3"/>
      <c r="BE19" s="4"/>
      <c r="BF19" s="4"/>
      <c r="BG19" s="4"/>
      <c r="BH19" s="4"/>
      <c r="BI19" s="4"/>
      <c r="BJ19" s="5"/>
    </row>
    <row r="20" spans="11:62" ht="21.75" thickBot="1">
      <c r="K20" s="6"/>
      <c r="L20" s="7" t="s">
        <v>23</v>
      </c>
      <c r="M20" s="11" t="s">
        <v>44</v>
      </c>
      <c r="N20" s="9"/>
      <c r="O20" s="29" t="s">
        <v>1</v>
      </c>
      <c r="P20" s="12"/>
      <c r="Q20" s="2"/>
      <c r="T20" s="6"/>
      <c r="U20" s="7" t="s">
        <v>30</v>
      </c>
      <c r="V20" s="8" t="s">
        <v>335</v>
      </c>
      <c r="W20" s="9"/>
      <c r="X20" s="10" t="s">
        <v>2</v>
      </c>
      <c r="Z20" s="2"/>
      <c r="AC20" s="6"/>
      <c r="AD20" s="7" t="s">
        <v>31</v>
      </c>
      <c r="AE20" s="8" t="s">
        <v>43</v>
      </c>
      <c r="AF20" s="9"/>
      <c r="AG20" s="10" t="s">
        <v>3</v>
      </c>
      <c r="AI20" s="2"/>
      <c r="AL20" s="6"/>
      <c r="AM20" s="7" t="s">
        <v>32</v>
      </c>
      <c r="AN20" s="8" t="s">
        <v>474</v>
      </c>
      <c r="AO20" s="9"/>
      <c r="AP20" s="10" t="s">
        <v>14</v>
      </c>
      <c r="AR20" s="2"/>
      <c r="AU20" s="6"/>
      <c r="AV20" s="7" t="s">
        <v>172</v>
      </c>
      <c r="AW20" s="8" t="s">
        <v>171</v>
      </c>
      <c r="AX20" s="9"/>
      <c r="AY20" s="10" t="s">
        <v>444</v>
      </c>
      <c r="BA20" s="2"/>
      <c r="BD20" s="6"/>
      <c r="BE20" s="7" t="s">
        <v>422</v>
      </c>
      <c r="BF20" s="8" t="s">
        <v>433</v>
      </c>
      <c r="BG20" s="9"/>
      <c r="BH20" s="10" t="s">
        <v>420</v>
      </c>
      <c r="BJ20" s="2"/>
    </row>
    <row r="21" spans="11:62" ht="15.75" thickBot="1">
      <c r="K21" s="6"/>
      <c r="L21" s="12"/>
      <c r="M21" s="13"/>
      <c r="N21" s="9"/>
      <c r="O21" s="14" t="s">
        <v>17</v>
      </c>
      <c r="P21" s="15">
        <v>156</v>
      </c>
      <c r="Q21" s="2"/>
      <c r="T21" s="6"/>
      <c r="U21" s="12"/>
      <c r="V21" s="13"/>
      <c r="W21" s="9"/>
      <c r="X21" s="14" t="s">
        <v>17</v>
      </c>
      <c r="Y21" s="15">
        <v>0</v>
      </c>
      <c r="Z21" s="2"/>
      <c r="AC21" s="6"/>
      <c r="AD21" s="12"/>
      <c r="AE21" s="13"/>
      <c r="AF21" s="9"/>
      <c r="AG21" s="14" t="s">
        <v>17</v>
      </c>
      <c r="AH21" s="15">
        <v>0</v>
      </c>
      <c r="AI21" s="2"/>
      <c r="AL21" s="6"/>
      <c r="AM21" s="12"/>
      <c r="AN21" s="13"/>
      <c r="AO21" s="9"/>
      <c r="AP21" s="14" t="s">
        <v>17</v>
      </c>
      <c r="AQ21" s="15">
        <v>3</v>
      </c>
      <c r="AR21" s="2"/>
      <c r="AU21" s="6"/>
      <c r="AV21" s="12"/>
      <c r="AW21" s="13"/>
      <c r="AX21" s="9"/>
      <c r="AY21" s="14" t="s">
        <v>17</v>
      </c>
      <c r="AZ21" s="15">
        <v>0</v>
      </c>
      <c r="BA21" s="2"/>
      <c r="BD21" s="6"/>
      <c r="BE21" s="12"/>
      <c r="BF21" s="13"/>
      <c r="BG21" s="9"/>
      <c r="BH21" s="14" t="s">
        <v>17</v>
      </c>
      <c r="BI21" s="15">
        <v>1000</v>
      </c>
      <c r="BJ21" s="2"/>
    </row>
    <row r="22" spans="11:62">
      <c r="K22" s="6"/>
      <c r="L22" s="12"/>
      <c r="M22" s="16"/>
      <c r="N22" s="9"/>
      <c r="O22" s="17" t="s">
        <v>18</v>
      </c>
      <c r="P22" s="18">
        <v>0.49650444444444458</v>
      </c>
      <c r="Q22" s="2"/>
      <c r="T22" s="6"/>
      <c r="U22" s="12"/>
      <c r="V22" s="16"/>
      <c r="W22" s="9"/>
      <c r="X22" s="17" t="s">
        <v>18</v>
      </c>
      <c r="Y22" s="18">
        <v>3.7812999999999999</v>
      </c>
      <c r="Z22" s="2"/>
      <c r="AC22" s="6"/>
      <c r="AD22" s="12"/>
      <c r="AE22" s="16"/>
      <c r="AF22" s="9"/>
      <c r="AG22" s="17" t="s">
        <v>18</v>
      </c>
      <c r="AH22" s="18">
        <v>0</v>
      </c>
      <c r="AI22" s="2"/>
      <c r="AL22" s="6"/>
      <c r="AM22" s="12"/>
      <c r="AN22" s="16"/>
      <c r="AO22" s="9"/>
      <c r="AP22" s="17" t="s">
        <v>18</v>
      </c>
      <c r="AQ22" s="18">
        <v>2.1633</v>
      </c>
      <c r="AR22" s="2"/>
      <c r="AU22" s="6"/>
      <c r="AV22" s="12"/>
      <c r="AW22" s="16"/>
      <c r="AX22" s="9"/>
      <c r="AY22" s="17" t="s">
        <v>18</v>
      </c>
      <c r="AZ22" s="18">
        <v>0</v>
      </c>
      <c r="BA22" s="2"/>
      <c r="BD22" s="6"/>
      <c r="BE22" s="12"/>
      <c r="BF22" s="16"/>
      <c r="BG22" s="9"/>
      <c r="BH22" s="17" t="s">
        <v>18</v>
      </c>
      <c r="BI22" s="18">
        <v>6.9</v>
      </c>
      <c r="BJ22" s="2"/>
    </row>
    <row r="23" spans="11:62">
      <c r="K23" s="6"/>
      <c r="L23" s="12"/>
      <c r="M23" s="9"/>
      <c r="N23" s="9"/>
      <c r="O23" s="21" t="s">
        <v>20</v>
      </c>
      <c r="P23" s="22">
        <f>P21/36</f>
        <v>4.333333333333333</v>
      </c>
      <c r="Q23" s="2"/>
      <c r="T23" s="6"/>
      <c r="U23" s="12"/>
      <c r="V23" s="9"/>
      <c r="W23" s="9"/>
      <c r="X23" s="19"/>
      <c r="Y23" s="20"/>
      <c r="Z23" s="2"/>
      <c r="AC23" s="6"/>
      <c r="AD23" s="12"/>
      <c r="AE23" s="9"/>
      <c r="AF23" s="9"/>
      <c r="AG23" s="19"/>
      <c r="AH23" s="20"/>
      <c r="AI23" s="2"/>
      <c r="AL23" s="6"/>
      <c r="AM23" s="12"/>
      <c r="AN23" s="9"/>
      <c r="AO23" s="9"/>
      <c r="AP23" s="19"/>
      <c r="AQ23" s="20"/>
      <c r="AR23" s="2"/>
      <c r="AU23" s="6"/>
      <c r="AV23" s="12"/>
      <c r="AW23" s="9"/>
      <c r="AX23" s="9"/>
      <c r="AY23" s="19"/>
      <c r="AZ23" s="20"/>
      <c r="BA23" s="2"/>
      <c r="BD23" s="6"/>
      <c r="BE23" s="12"/>
      <c r="BF23" s="9"/>
      <c r="BG23" s="9"/>
      <c r="BH23" s="19"/>
      <c r="BI23" s="20"/>
      <c r="BJ23" s="2"/>
    </row>
    <row r="24" spans="11:62" ht="15.75" thickBot="1">
      <c r="K24" s="6"/>
      <c r="L24" s="12"/>
      <c r="M24" s="12"/>
      <c r="N24" s="12"/>
      <c r="O24" s="25" t="s">
        <v>22</v>
      </c>
      <c r="P24" s="24">
        <f>P22*24</f>
        <v>11.91610666666667</v>
      </c>
      <c r="Q24" s="2"/>
      <c r="T24" s="6"/>
      <c r="U24" s="12"/>
      <c r="V24" s="12"/>
      <c r="W24" s="12"/>
      <c r="X24" s="23"/>
      <c r="Y24" s="24"/>
      <c r="Z24" s="2"/>
      <c r="AC24" s="6"/>
      <c r="AD24" s="12"/>
      <c r="AE24" s="12"/>
      <c r="AF24" s="12"/>
      <c r="AG24" s="23"/>
      <c r="AH24" s="24"/>
      <c r="AI24" s="2"/>
      <c r="AL24" s="6"/>
      <c r="AM24" s="12"/>
      <c r="AN24" s="12"/>
      <c r="AO24" s="12"/>
      <c r="AP24" s="23"/>
      <c r="AQ24" s="24"/>
      <c r="AR24" s="2"/>
      <c r="AU24" s="6"/>
      <c r="AV24" s="12"/>
      <c r="AW24" s="12"/>
      <c r="AX24" s="12"/>
      <c r="AY24" s="23"/>
      <c r="AZ24" s="24"/>
      <c r="BA24" s="2"/>
      <c r="BD24" s="6"/>
      <c r="BE24" s="12"/>
      <c r="BF24" s="12"/>
      <c r="BG24" s="12"/>
      <c r="BH24" s="23"/>
      <c r="BI24" s="24"/>
      <c r="BJ24" s="2"/>
    </row>
    <row r="25" spans="11:62" ht="4.5" customHeight="1" thickBot="1">
      <c r="K25" s="26"/>
      <c r="L25" s="27"/>
      <c r="M25" s="27"/>
      <c r="N25" s="27"/>
      <c r="O25" s="27"/>
      <c r="P25" s="27"/>
      <c r="Q25" s="28"/>
      <c r="T25" s="26"/>
      <c r="U25" s="27"/>
      <c r="V25" s="27"/>
      <c r="W25" s="27"/>
      <c r="X25" s="27"/>
      <c r="Y25" s="27"/>
      <c r="Z25" s="28"/>
      <c r="AC25" s="26"/>
      <c r="AD25" s="27"/>
      <c r="AE25" s="27"/>
      <c r="AF25" s="27"/>
      <c r="AG25" s="27"/>
      <c r="AH25" s="27"/>
      <c r="AI25" s="28"/>
      <c r="AL25" s="26"/>
      <c r="AM25" s="27"/>
      <c r="AN25" s="27"/>
      <c r="AO25" s="27"/>
      <c r="AP25" s="27"/>
      <c r="AQ25" s="27"/>
      <c r="AR25" s="28"/>
      <c r="AU25" s="26"/>
      <c r="AV25" s="27"/>
      <c r="AW25" s="27"/>
      <c r="AX25" s="27"/>
      <c r="AY25" s="27"/>
      <c r="AZ25" s="27"/>
      <c r="BA25" s="28"/>
      <c r="BD25" s="26"/>
      <c r="BE25" s="27"/>
      <c r="BF25" s="27"/>
      <c r="BG25" s="27"/>
      <c r="BH25" s="27"/>
      <c r="BI25" s="27"/>
      <c r="BJ25" s="28"/>
    </row>
    <row r="26" spans="11:62" ht="15.75" thickBot="1"/>
    <row r="27" spans="11:62" ht="4.5" customHeight="1" thickBot="1">
      <c r="K27" s="3"/>
      <c r="L27" s="4"/>
      <c r="M27" s="4"/>
      <c r="N27" s="4"/>
      <c r="O27" s="4"/>
      <c r="P27" s="4"/>
      <c r="Q27" s="5"/>
      <c r="T27" s="3"/>
      <c r="U27" s="4"/>
      <c r="V27" s="4"/>
      <c r="W27" s="4"/>
      <c r="X27" s="4"/>
      <c r="Y27" s="4"/>
      <c r="Z27" s="5"/>
      <c r="AC27" s="3"/>
      <c r="AD27" s="4"/>
      <c r="AE27" s="4"/>
      <c r="AF27" s="4"/>
      <c r="AG27" s="4"/>
      <c r="AH27" s="4"/>
      <c r="AI27" s="5"/>
      <c r="AU27" s="3"/>
      <c r="AV27" s="4"/>
      <c r="AW27" s="4"/>
      <c r="AX27" s="4"/>
      <c r="AY27" s="4"/>
      <c r="AZ27" s="4"/>
      <c r="BA27" s="5"/>
      <c r="BD27" s="3"/>
      <c r="BE27" s="4"/>
      <c r="BF27" s="4"/>
      <c r="BG27" s="4"/>
      <c r="BH27" s="4"/>
      <c r="BI27" s="4"/>
      <c r="BJ27" s="5"/>
    </row>
    <row r="28" spans="11:62" ht="21.75" thickBot="1">
      <c r="K28" s="6"/>
      <c r="L28" s="7" t="s">
        <v>29</v>
      </c>
      <c r="M28" s="11" t="s">
        <v>45</v>
      </c>
      <c r="N28" s="9"/>
      <c r="O28" s="29" t="s">
        <v>1</v>
      </c>
      <c r="P28" s="12"/>
      <c r="Q28" s="2"/>
      <c r="T28" s="6"/>
      <c r="U28" s="7" t="s">
        <v>33</v>
      </c>
      <c r="V28" s="8" t="s">
        <v>451</v>
      </c>
      <c r="W28" s="9"/>
      <c r="X28" s="10" t="s">
        <v>2</v>
      </c>
      <c r="Z28" s="2"/>
      <c r="AC28" s="6"/>
      <c r="AD28" s="7" t="s">
        <v>34</v>
      </c>
      <c r="AE28" s="8" t="s">
        <v>35</v>
      </c>
      <c r="AF28" s="9"/>
      <c r="AG28" s="10" t="s">
        <v>3</v>
      </c>
      <c r="AI28" s="2"/>
      <c r="AU28" s="6"/>
      <c r="AV28" s="7" t="s">
        <v>173</v>
      </c>
      <c r="AW28" s="8" t="s">
        <v>171</v>
      </c>
      <c r="AX28" s="9"/>
      <c r="AY28" s="10" t="s">
        <v>444</v>
      </c>
      <c r="BA28" s="2"/>
      <c r="BD28" s="6"/>
      <c r="BE28" s="7" t="s">
        <v>423</v>
      </c>
      <c r="BF28" s="8" t="s">
        <v>434</v>
      </c>
      <c r="BG28" s="9"/>
      <c r="BH28" s="10" t="s">
        <v>420</v>
      </c>
      <c r="BJ28" s="2"/>
    </row>
    <row r="29" spans="11:62" ht="15.75" thickBot="1">
      <c r="K29" s="6"/>
      <c r="L29" s="12"/>
      <c r="M29" s="13"/>
      <c r="N29" s="9"/>
      <c r="O29" s="14" t="s">
        <v>17</v>
      </c>
      <c r="P29" s="15">
        <v>24</v>
      </c>
      <c r="Q29" s="2"/>
      <c r="T29" s="6"/>
      <c r="U29" s="12"/>
      <c r="V29" s="13"/>
      <c r="W29" s="9"/>
      <c r="X29" s="14" t="s">
        <v>17</v>
      </c>
      <c r="Y29" s="15">
        <v>0</v>
      </c>
      <c r="Z29" s="2"/>
      <c r="AC29" s="6"/>
      <c r="AD29" s="12"/>
      <c r="AE29" s="13"/>
      <c r="AF29" s="9"/>
      <c r="AG29" s="14" t="s">
        <v>17</v>
      </c>
      <c r="AH29" s="15">
        <v>0</v>
      </c>
      <c r="AI29" s="2"/>
      <c r="AU29" s="6"/>
      <c r="AV29" s="12"/>
      <c r="AW29" s="13"/>
      <c r="AX29" s="9"/>
      <c r="AY29" s="14" t="s">
        <v>17</v>
      </c>
      <c r="AZ29" s="15">
        <v>0</v>
      </c>
      <c r="BA29" s="2"/>
      <c r="BD29" s="6"/>
      <c r="BE29" s="12"/>
      <c r="BF29" s="13"/>
      <c r="BG29" s="9"/>
      <c r="BH29" s="14" t="s">
        <v>17</v>
      </c>
      <c r="BI29" s="15">
        <v>1000</v>
      </c>
      <c r="BJ29" s="2"/>
    </row>
    <row r="30" spans="11:62">
      <c r="K30" s="6"/>
      <c r="L30" s="12"/>
      <c r="M30" s="16"/>
      <c r="N30" s="9"/>
      <c r="O30" s="17" t="s">
        <v>18</v>
      </c>
      <c r="P30" s="18">
        <v>0.45390000000000003</v>
      </c>
      <c r="Q30" s="2"/>
      <c r="T30" s="6"/>
      <c r="U30" s="12"/>
      <c r="V30" s="16"/>
      <c r="W30" s="9"/>
      <c r="X30" s="17" t="s">
        <v>18</v>
      </c>
      <c r="Y30" s="18">
        <v>0</v>
      </c>
      <c r="Z30" s="2"/>
      <c r="AC30" s="6"/>
      <c r="AD30" s="12"/>
      <c r="AE30" s="16"/>
      <c r="AF30" s="9"/>
      <c r="AG30" s="17" t="s">
        <v>18</v>
      </c>
      <c r="AH30" s="18">
        <v>0</v>
      </c>
      <c r="AI30" s="2"/>
      <c r="AU30" s="6"/>
      <c r="AV30" s="12"/>
      <c r="AW30" s="16"/>
      <c r="AX30" s="9"/>
      <c r="AY30" s="17" t="s">
        <v>18</v>
      </c>
      <c r="AZ30" s="18">
        <v>0</v>
      </c>
      <c r="BA30" s="2"/>
      <c r="BD30" s="6"/>
      <c r="BE30" s="12"/>
      <c r="BF30" s="16"/>
      <c r="BG30" s="9"/>
      <c r="BH30" s="17" t="s">
        <v>18</v>
      </c>
      <c r="BI30" s="18">
        <v>6.7</v>
      </c>
      <c r="BJ30" s="2"/>
    </row>
    <row r="31" spans="11:62">
      <c r="K31" s="6"/>
      <c r="L31" s="12"/>
      <c r="M31" s="9"/>
      <c r="N31" s="9"/>
      <c r="O31" s="21"/>
      <c r="P31" s="22"/>
      <c r="Q31" s="2"/>
      <c r="T31" s="6"/>
      <c r="U31" s="12"/>
      <c r="V31" s="9"/>
      <c r="W31" s="9"/>
      <c r="X31" s="19"/>
      <c r="Y31" s="20"/>
      <c r="Z31" s="2"/>
      <c r="AC31" s="6"/>
      <c r="AD31" s="12"/>
      <c r="AE31" s="9"/>
      <c r="AF31" s="9"/>
      <c r="AG31" s="19"/>
      <c r="AH31" s="20"/>
      <c r="AI31" s="2"/>
      <c r="AU31" s="6"/>
      <c r="AV31" s="12"/>
      <c r="AW31" s="9"/>
      <c r="AX31" s="9"/>
      <c r="AY31" s="19"/>
      <c r="AZ31" s="20"/>
      <c r="BA31" s="2"/>
      <c r="BD31" s="6"/>
      <c r="BE31" s="12"/>
      <c r="BF31" s="9"/>
      <c r="BG31" s="9"/>
      <c r="BH31" s="19"/>
      <c r="BI31" s="20"/>
      <c r="BJ31" s="2"/>
    </row>
    <row r="32" spans="11:62" ht="15.75" thickBot="1">
      <c r="K32" s="6"/>
      <c r="L32" s="12"/>
      <c r="M32" s="12"/>
      <c r="N32" s="12"/>
      <c r="O32" s="25"/>
      <c r="P32" s="24"/>
      <c r="Q32" s="2"/>
      <c r="T32" s="6"/>
      <c r="U32" s="12"/>
      <c r="V32" s="12"/>
      <c r="W32" s="12"/>
      <c r="X32" s="23"/>
      <c r="Y32" s="24"/>
      <c r="Z32" s="2"/>
      <c r="AC32" s="6"/>
      <c r="AD32" s="12"/>
      <c r="AE32" s="12"/>
      <c r="AF32" s="12"/>
      <c r="AG32" s="23"/>
      <c r="AH32" s="24"/>
      <c r="AI32" s="2"/>
      <c r="AU32" s="6"/>
      <c r="AV32" s="12"/>
      <c r="AW32" s="12"/>
      <c r="AX32" s="12"/>
      <c r="AY32" s="23"/>
      <c r="AZ32" s="24"/>
      <c r="BA32" s="2"/>
      <c r="BD32" s="6"/>
      <c r="BE32" s="12"/>
      <c r="BF32" s="12"/>
      <c r="BG32" s="12"/>
      <c r="BH32" s="23"/>
      <c r="BI32" s="24"/>
      <c r="BJ32" s="2"/>
    </row>
    <row r="33" spans="11:62" ht="4.5" customHeight="1" thickBot="1">
      <c r="K33" s="26"/>
      <c r="L33" s="27"/>
      <c r="M33" s="27"/>
      <c r="N33" s="27"/>
      <c r="O33" s="27"/>
      <c r="P33" s="27"/>
      <c r="Q33" s="28"/>
      <c r="T33" s="26"/>
      <c r="U33" s="27"/>
      <c r="V33" s="27"/>
      <c r="W33" s="27"/>
      <c r="X33" s="27"/>
      <c r="Y33" s="27"/>
      <c r="Z33" s="28"/>
      <c r="AC33" s="26"/>
      <c r="AD33" s="27"/>
      <c r="AE33" s="27"/>
      <c r="AF33" s="27"/>
      <c r="AG33" s="27"/>
      <c r="AH33" s="27"/>
      <c r="AI33" s="28"/>
      <c r="AU33" s="26"/>
      <c r="AV33" s="27"/>
      <c r="AW33" s="27"/>
      <c r="AX33" s="27"/>
      <c r="AY33" s="27"/>
      <c r="AZ33" s="27"/>
      <c r="BA33" s="28"/>
      <c r="BD33" s="26"/>
      <c r="BE33" s="27"/>
      <c r="BF33" s="27"/>
      <c r="BG33" s="27"/>
      <c r="BH33" s="27"/>
      <c r="BI33" s="27"/>
      <c r="BJ33" s="28"/>
    </row>
    <row r="34" spans="11:62" ht="15.75" thickBot="1"/>
    <row r="35" spans="11:62" ht="4.5" customHeight="1" thickBot="1">
      <c r="T35" s="3"/>
      <c r="U35" s="4"/>
      <c r="V35" s="4"/>
      <c r="W35" s="4"/>
      <c r="X35" s="4"/>
      <c r="Y35" s="4"/>
      <c r="Z35" s="5"/>
      <c r="AC35" s="3"/>
      <c r="AD35" s="4"/>
      <c r="AE35" s="4"/>
      <c r="AF35" s="4"/>
      <c r="AG35" s="4"/>
      <c r="AH35" s="4"/>
      <c r="AI35" s="5"/>
      <c r="AU35" s="3"/>
      <c r="AV35" s="4"/>
      <c r="AW35" s="4"/>
      <c r="AX35" s="4"/>
      <c r="AY35" s="4"/>
      <c r="AZ35" s="4"/>
      <c r="BA35" s="5"/>
      <c r="BD35" s="3"/>
      <c r="BE35" s="4"/>
      <c r="BF35" s="4"/>
      <c r="BG35" s="4"/>
      <c r="BH35" s="4"/>
      <c r="BI35" s="4"/>
      <c r="BJ35" s="5"/>
    </row>
    <row r="36" spans="11:62" ht="21.75" thickBot="1">
      <c r="T36" s="6"/>
      <c r="U36" s="7" t="s">
        <v>36</v>
      </c>
      <c r="V36" s="8" t="s">
        <v>452</v>
      </c>
      <c r="W36" s="9"/>
      <c r="X36" s="10" t="s">
        <v>2</v>
      </c>
      <c r="Z36" s="2"/>
      <c r="AC36" s="6"/>
      <c r="AD36" s="7" t="s">
        <v>37</v>
      </c>
      <c r="AE36" s="8" t="s">
        <v>38</v>
      </c>
      <c r="AF36" s="9"/>
      <c r="AG36" s="10" t="s">
        <v>3</v>
      </c>
      <c r="AI36" s="2"/>
      <c r="AU36" s="6"/>
      <c r="AV36" s="7" t="s">
        <v>174</v>
      </c>
      <c r="AW36" s="8" t="s">
        <v>171</v>
      </c>
      <c r="AX36" s="9"/>
      <c r="AY36" s="10" t="s">
        <v>444</v>
      </c>
      <c r="BA36" s="2"/>
      <c r="BD36" s="6"/>
      <c r="BE36" s="7" t="s">
        <v>424</v>
      </c>
      <c r="BF36" s="8" t="s">
        <v>435</v>
      </c>
      <c r="BG36" s="9"/>
      <c r="BH36" s="10" t="s">
        <v>420</v>
      </c>
      <c r="BJ36" s="2"/>
    </row>
    <row r="37" spans="11:62" ht="15.75" thickBot="1">
      <c r="T37" s="6"/>
      <c r="U37" s="12"/>
      <c r="V37" s="13"/>
      <c r="W37" s="9"/>
      <c r="X37" s="14" t="s">
        <v>17</v>
      </c>
      <c r="Y37" s="15">
        <v>0</v>
      </c>
      <c r="Z37" s="2"/>
      <c r="AC37" s="6"/>
      <c r="AD37" s="12"/>
      <c r="AE37" s="13"/>
      <c r="AF37" s="9"/>
      <c r="AG37" s="14" t="s">
        <v>17</v>
      </c>
      <c r="AH37" s="15">
        <v>0</v>
      </c>
      <c r="AI37" s="2"/>
      <c r="AU37" s="6"/>
      <c r="AV37" s="12"/>
      <c r="AW37" s="13"/>
      <c r="AX37" s="9"/>
      <c r="AY37" s="14" t="s">
        <v>17</v>
      </c>
      <c r="AZ37" s="15">
        <v>0</v>
      </c>
      <c r="BA37" s="2"/>
      <c r="BD37" s="6"/>
      <c r="BE37" s="12"/>
      <c r="BF37" s="13"/>
      <c r="BG37" s="9"/>
      <c r="BH37" s="14" t="s">
        <v>17</v>
      </c>
      <c r="BI37" s="15">
        <v>999</v>
      </c>
      <c r="BJ37" s="2"/>
    </row>
    <row r="38" spans="11:62">
      <c r="T38" s="6"/>
      <c r="U38" s="12"/>
      <c r="V38" s="16"/>
      <c r="W38" s="9"/>
      <c r="X38" s="17" t="s">
        <v>18</v>
      </c>
      <c r="Y38" s="18">
        <v>0</v>
      </c>
      <c r="Z38" s="2"/>
      <c r="AC38" s="6"/>
      <c r="AD38" s="12"/>
      <c r="AE38" s="16"/>
      <c r="AF38" s="9"/>
      <c r="AG38" s="17" t="s">
        <v>18</v>
      </c>
      <c r="AH38" s="18">
        <v>0</v>
      </c>
      <c r="AI38" s="2"/>
      <c r="AU38" s="6"/>
      <c r="AV38" s="12"/>
      <c r="AW38" s="16"/>
      <c r="AX38" s="9"/>
      <c r="AY38" s="17" t="s">
        <v>18</v>
      </c>
      <c r="AZ38" s="18">
        <v>0</v>
      </c>
      <c r="BA38" s="2"/>
      <c r="BD38" s="6"/>
      <c r="BE38" s="12"/>
      <c r="BF38" s="16"/>
      <c r="BG38" s="9"/>
      <c r="BH38" s="17" t="s">
        <v>18</v>
      </c>
      <c r="BI38" s="18">
        <v>5.9</v>
      </c>
      <c r="BJ38" s="2"/>
    </row>
    <row r="39" spans="11:62">
      <c r="T39" s="6"/>
      <c r="U39" s="12"/>
      <c r="V39" s="9"/>
      <c r="W39" s="9"/>
      <c r="X39" s="19"/>
      <c r="Y39" s="20"/>
      <c r="Z39" s="2"/>
      <c r="AC39" s="6"/>
      <c r="AD39" s="12"/>
      <c r="AE39" s="9"/>
      <c r="AF39" s="9"/>
      <c r="AG39" s="19"/>
      <c r="AH39" s="20"/>
      <c r="AI39" s="2"/>
      <c r="AU39" s="6"/>
      <c r="AV39" s="12"/>
      <c r="AW39" s="9"/>
      <c r="AX39" s="9"/>
      <c r="AY39" s="19"/>
      <c r="AZ39" s="20"/>
      <c r="BA39" s="2"/>
      <c r="BD39" s="6"/>
      <c r="BE39" s="12"/>
      <c r="BF39" s="9"/>
      <c r="BG39" s="9"/>
      <c r="BH39" s="19"/>
      <c r="BI39" s="20"/>
      <c r="BJ39" s="2"/>
    </row>
    <row r="40" spans="11:62" ht="6.75" customHeight="1" thickBot="1">
      <c r="T40" s="6"/>
      <c r="U40" s="12"/>
      <c r="V40" s="12"/>
      <c r="W40" s="12"/>
      <c r="X40" s="23"/>
      <c r="Y40" s="24"/>
      <c r="Z40" s="2"/>
      <c r="AC40" s="6"/>
      <c r="AD40" s="12"/>
      <c r="AE40" s="12"/>
      <c r="AF40" s="12"/>
      <c r="AG40" s="23"/>
      <c r="AH40" s="24"/>
      <c r="AI40" s="2"/>
      <c r="AU40" s="6"/>
      <c r="AV40" s="12"/>
      <c r="AW40" s="12"/>
      <c r="AX40" s="12"/>
      <c r="AY40" s="23"/>
      <c r="AZ40" s="24"/>
      <c r="BA40" s="2"/>
      <c r="BD40" s="6"/>
      <c r="BE40" s="12"/>
      <c r="BF40" s="12"/>
      <c r="BG40" s="12"/>
      <c r="BH40" s="23"/>
      <c r="BI40" s="24"/>
      <c r="BJ40" s="2"/>
    </row>
    <row r="41" spans="11:62" ht="4.5" customHeight="1" thickBot="1">
      <c r="T41" s="26"/>
      <c r="U41" s="27"/>
      <c r="V41" s="27"/>
      <c r="W41" s="27"/>
      <c r="X41" s="27"/>
      <c r="Y41" s="27"/>
      <c r="Z41" s="28"/>
      <c r="AC41" s="26"/>
      <c r="AD41" s="27"/>
      <c r="AE41" s="27"/>
      <c r="AF41" s="27"/>
      <c r="AG41" s="27"/>
      <c r="AH41" s="27"/>
      <c r="AI41" s="28"/>
      <c r="AU41" s="26"/>
      <c r="AV41" s="27"/>
      <c r="AW41" s="27"/>
      <c r="AX41" s="27"/>
      <c r="AY41" s="27"/>
      <c r="AZ41" s="27"/>
      <c r="BA41" s="28"/>
      <c r="BD41" s="26"/>
      <c r="BE41" s="27"/>
      <c r="BF41" s="27"/>
      <c r="BG41" s="27"/>
      <c r="BH41" s="27"/>
      <c r="BI41" s="27"/>
      <c r="BJ41" s="28"/>
    </row>
    <row r="42" spans="11:62" ht="15.75" thickBot="1"/>
    <row r="43" spans="11:62" ht="4.5" customHeight="1" thickBot="1">
      <c r="T43" s="3"/>
      <c r="U43" s="4"/>
      <c r="V43" s="4"/>
      <c r="W43" s="4"/>
      <c r="X43" s="4"/>
      <c r="Y43" s="4"/>
      <c r="Z43" s="5"/>
      <c r="AC43" s="3"/>
      <c r="AD43" s="4"/>
      <c r="AE43" s="4"/>
      <c r="AF43" s="4"/>
      <c r="AG43" s="4"/>
      <c r="AH43" s="4"/>
      <c r="AI43" s="5"/>
      <c r="AU43" s="3"/>
      <c r="AV43" s="4"/>
      <c r="AW43" s="4"/>
      <c r="AX43" s="4"/>
      <c r="AY43" s="4"/>
      <c r="AZ43" s="4"/>
      <c r="BA43" s="5"/>
      <c r="BD43" s="3"/>
      <c r="BE43" s="4"/>
      <c r="BF43" s="4"/>
      <c r="BG43" s="4"/>
      <c r="BH43" s="4"/>
      <c r="BI43" s="4"/>
      <c r="BJ43" s="5"/>
    </row>
    <row r="44" spans="11:62" ht="21.75" thickBot="1">
      <c r="T44" s="6"/>
      <c r="U44" s="7" t="s">
        <v>39</v>
      </c>
      <c r="V44" s="8" t="s">
        <v>453</v>
      </c>
      <c r="W44" s="9"/>
      <c r="X44" s="10" t="s">
        <v>2</v>
      </c>
      <c r="Z44" s="2"/>
      <c r="AC44" s="6"/>
      <c r="AD44" s="7" t="s">
        <v>40</v>
      </c>
      <c r="AE44" s="8" t="s">
        <v>41</v>
      </c>
      <c r="AF44" s="9"/>
      <c r="AG44" s="10" t="s">
        <v>3</v>
      </c>
      <c r="AI44" s="2"/>
      <c r="AU44" s="6"/>
      <c r="AV44" s="7" t="s">
        <v>175</v>
      </c>
      <c r="AW44" s="8" t="s">
        <v>171</v>
      </c>
      <c r="AX44" s="9"/>
      <c r="AY44" s="10" t="s">
        <v>444</v>
      </c>
      <c r="BA44" s="2"/>
      <c r="BD44" s="6"/>
      <c r="BE44" s="7" t="s">
        <v>425</v>
      </c>
      <c r="BF44" s="8" t="s">
        <v>436</v>
      </c>
      <c r="BG44" s="9"/>
      <c r="BH44" s="10" t="s">
        <v>420</v>
      </c>
      <c r="BJ44" s="2"/>
    </row>
    <row r="45" spans="11:62" ht="15.75" thickBot="1">
      <c r="T45" s="6"/>
      <c r="U45" s="12"/>
      <c r="V45" s="13"/>
      <c r="W45" s="9"/>
      <c r="X45" s="14" t="s">
        <v>17</v>
      </c>
      <c r="Y45" s="15">
        <v>0</v>
      </c>
      <c r="Z45" s="2"/>
      <c r="AC45" s="6"/>
      <c r="AD45" s="12"/>
      <c r="AE45" s="13"/>
      <c r="AF45" s="9"/>
      <c r="AG45" s="14" t="s">
        <v>17</v>
      </c>
      <c r="AH45" s="15">
        <v>0</v>
      </c>
      <c r="AI45" s="2"/>
      <c r="AU45" s="6"/>
      <c r="AV45" s="12"/>
      <c r="AW45" s="13"/>
      <c r="AX45" s="9"/>
      <c r="AY45" s="14" t="s">
        <v>17</v>
      </c>
      <c r="AZ45" s="15">
        <v>0</v>
      </c>
      <c r="BA45" s="2"/>
      <c r="BD45" s="6"/>
      <c r="BE45" s="12"/>
      <c r="BF45" s="13"/>
      <c r="BG45" s="9"/>
      <c r="BH45" s="14" t="s">
        <v>17</v>
      </c>
      <c r="BI45" s="15">
        <v>1000</v>
      </c>
      <c r="BJ45" s="2"/>
    </row>
    <row r="46" spans="11:62">
      <c r="T46" s="6"/>
      <c r="U46" s="12"/>
      <c r="V46" s="16"/>
      <c r="W46" s="9"/>
      <c r="X46" s="17" t="s">
        <v>18</v>
      </c>
      <c r="Y46" s="18">
        <v>0</v>
      </c>
      <c r="Z46" s="2"/>
      <c r="AC46" s="6"/>
      <c r="AD46" s="12"/>
      <c r="AE46" s="16"/>
      <c r="AF46" s="9"/>
      <c r="AG46" s="17" t="s">
        <v>18</v>
      </c>
      <c r="AH46" s="18">
        <v>0</v>
      </c>
      <c r="AI46" s="2"/>
      <c r="AU46" s="6"/>
      <c r="AV46" s="12"/>
      <c r="AW46" s="16"/>
      <c r="AX46" s="9"/>
      <c r="AY46" s="17" t="s">
        <v>18</v>
      </c>
      <c r="AZ46" s="18">
        <v>0</v>
      </c>
      <c r="BA46" s="2"/>
      <c r="BD46" s="6"/>
      <c r="BE46" s="12"/>
      <c r="BF46" s="16"/>
      <c r="BG46" s="9"/>
      <c r="BH46" s="17" t="s">
        <v>18</v>
      </c>
      <c r="BI46" s="18">
        <v>4.9000000000000004</v>
      </c>
      <c r="BJ46" s="2"/>
    </row>
    <row r="47" spans="11:62">
      <c r="T47" s="6"/>
      <c r="U47" s="12"/>
      <c r="V47" s="9"/>
      <c r="W47" s="9"/>
      <c r="X47" s="19"/>
      <c r="Y47" s="20"/>
      <c r="Z47" s="2"/>
      <c r="AC47" s="6"/>
      <c r="AD47" s="12"/>
      <c r="AE47" s="9"/>
      <c r="AF47" s="9"/>
      <c r="AG47" s="19"/>
      <c r="AH47" s="20"/>
      <c r="AI47" s="2"/>
      <c r="AU47" s="6"/>
      <c r="AV47" s="12"/>
      <c r="AW47" s="9"/>
      <c r="AX47" s="9"/>
      <c r="AY47" s="19"/>
      <c r="AZ47" s="20"/>
      <c r="BA47" s="2"/>
      <c r="BD47" s="6"/>
      <c r="BE47" s="12"/>
      <c r="BF47" s="9"/>
      <c r="BG47" s="9"/>
      <c r="BH47" s="19"/>
      <c r="BI47" s="20"/>
      <c r="BJ47" s="2"/>
    </row>
    <row r="48" spans="11:62" ht="15.75" thickBot="1">
      <c r="T48" s="6"/>
      <c r="U48" s="12"/>
      <c r="V48" s="12"/>
      <c r="W48" s="12"/>
      <c r="X48" s="23"/>
      <c r="Y48" s="24"/>
      <c r="Z48" s="2"/>
      <c r="AC48" s="6"/>
      <c r="AD48" s="12"/>
      <c r="AE48" s="12"/>
      <c r="AF48" s="12"/>
      <c r="AG48" s="23"/>
      <c r="AH48" s="24"/>
      <c r="AI48" s="2"/>
      <c r="AU48" s="6"/>
      <c r="AV48" s="12"/>
      <c r="AW48" s="12"/>
      <c r="AX48" s="12"/>
      <c r="AY48" s="23"/>
      <c r="AZ48" s="24"/>
      <c r="BA48" s="2"/>
      <c r="BD48" s="6"/>
      <c r="BE48" s="12"/>
      <c r="BF48" s="12"/>
      <c r="BG48" s="12"/>
      <c r="BH48" s="23"/>
      <c r="BI48" s="24"/>
      <c r="BJ48" s="2"/>
    </row>
    <row r="49" spans="20:62" ht="4.5" customHeight="1" thickBot="1">
      <c r="T49" s="26"/>
      <c r="U49" s="27"/>
      <c r="V49" s="27"/>
      <c r="W49" s="27"/>
      <c r="X49" s="27"/>
      <c r="Y49" s="27"/>
      <c r="Z49" s="28"/>
      <c r="AC49" s="26"/>
      <c r="AD49" s="27"/>
      <c r="AE49" s="27"/>
      <c r="AF49" s="27"/>
      <c r="AG49" s="27"/>
      <c r="AH49" s="27"/>
      <c r="AI49" s="28"/>
      <c r="AU49" s="26"/>
      <c r="AV49" s="27"/>
      <c r="AW49" s="27"/>
      <c r="AX49" s="27"/>
      <c r="AY49" s="27"/>
      <c r="AZ49" s="27"/>
      <c r="BA49" s="28"/>
      <c r="BD49" s="26"/>
      <c r="BE49" s="27"/>
      <c r="BF49" s="27"/>
      <c r="BG49" s="27"/>
      <c r="BH49" s="27"/>
      <c r="BI49" s="27"/>
      <c r="BJ49" s="28"/>
    </row>
    <row r="50" spans="20:62" ht="15.75" thickBot="1"/>
    <row r="51" spans="20:62" ht="4.5" customHeight="1" thickBot="1">
      <c r="T51" s="3"/>
      <c r="U51" s="4"/>
      <c r="V51" s="4"/>
      <c r="W51" s="4"/>
      <c r="X51" s="4"/>
      <c r="Y51" s="4"/>
      <c r="Z51" s="5"/>
      <c r="AC51" s="3"/>
      <c r="AD51" s="4"/>
      <c r="AE51" s="4"/>
      <c r="AF51" s="4"/>
      <c r="AG51" s="4"/>
      <c r="AH51" s="4"/>
      <c r="AI51" s="5"/>
      <c r="AU51" s="3"/>
      <c r="AV51" s="4"/>
      <c r="AW51" s="4"/>
      <c r="AX51" s="4"/>
      <c r="AY51" s="4"/>
      <c r="AZ51" s="4"/>
      <c r="BA51" s="5"/>
      <c r="BD51" s="3"/>
      <c r="BE51" s="4"/>
      <c r="BF51" s="4"/>
      <c r="BG51" s="4"/>
      <c r="BH51" s="4"/>
      <c r="BI51" s="4"/>
      <c r="BJ51" s="5"/>
    </row>
    <row r="52" spans="20:62" ht="21.75" thickBot="1">
      <c r="T52" s="6"/>
      <c r="U52" s="7" t="s">
        <v>42</v>
      </c>
      <c r="V52" s="8" t="s">
        <v>334</v>
      </c>
      <c r="W52" s="9"/>
      <c r="X52" s="10" t="s">
        <v>2</v>
      </c>
      <c r="Z52" s="2"/>
      <c r="AC52" s="6"/>
      <c r="AD52" s="7" t="s">
        <v>336</v>
      </c>
      <c r="AE52" s="8" t="s">
        <v>338</v>
      </c>
      <c r="AF52" s="9"/>
      <c r="AG52" s="10" t="s">
        <v>3</v>
      </c>
      <c r="AI52" s="2"/>
      <c r="AU52" s="6"/>
      <c r="AV52" s="7" t="s">
        <v>176</v>
      </c>
      <c r="AW52" s="8" t="s">
        <v>171</v>
      </c>
      <c r="AX52" s="9"/>
      <c r="AY52" s="10" t="s">
        <v>444</v>
      </c>
      <c r="BA52" s="2"/>
      <c r="BD52" s="6"/>
      <c r="BE52" s="7" t="s">
        <v>426</v>
      </c>
      <c r="BF52" s="8" t="s">
        <v>438</v>
      </c>
      <c r="BG52" s="9"/>
      <c r="BH52" s="10" t="s">
        <v>420</v>
      </c>
      <c r="BJ52" s="2"/>
    </row>
    <row r="53" spans="20:62" ht="15.75" thickBot="1">
      <c r="T53" s="6"/>
      <c r="U53" s="12"/>
      <c r="V53" s="13"/>
      <c r="W53" s="9"/>
      <c r="X53" s="14" t="s">
        <v>17</v>
      </c>
      <c r="Y53" s="15">
        <v>0</v>
      </c>
      <c r="Z53" s="2"/>
      <c r="AC53" s="6"/>
      <c r="AD53" s="12"/>
      <c r="AE53" s="13"/>
      <c r="AF53" s="9"/>
      <c r="AG53" s="14" t="s">
        <v>17</v>
      </c>
      <c r="AH53" s="15">
        <v>0</v>
      </c>
      <c r="AI53" s="2"/>
      <c r="AU53" s="6"/>
      <c r="AV53" s="12"/>
      <c r="AW53" s="13"/>
      <c r="AX53" s="9"/>
      <c r="AY53" s="14" t="s">
        <v>17</v>
      </c>
      <c r="AZ53" s="15">
        <v>0</v>
      </c>
      <c r="BA53" s="2"/>
      <c r="BD53" s="6"/>
      <c r="BE53" s="12"/>
      <c r="BF53" s="13"/>
      <c r="BG53" s="9"/>
      <c r="BH53" s="14" t="s">
        <v>17</v>
      </c>
      <c r="BI53" s="15">
        <v>1000</v>
      </c>
      <c r="BJ53" s="2"/>
    </row>
    <row r="54" spans="20:62">
      <c r="T54" s="6"/>
      <c r="U54" s="12"/>
      <c r="V54" s="16"/>
      <c r="W54" s="9"/>
      <c r="X54" s="17" t="s">
        <v>18</v>
      </c>
      <c r="Y54" s="18">
        <v>16.806699999999999</v>
      </c>
      <c r="Z54" s="2"/>
      <c r="AC54" s="6"/>
      <c r="AD54" s="12"/>
      <c r="AE54" s="16"/>
      <c r="AF54" s="9"/>
      <c r="AG54" s="17" t="s">
        <v>18</v>
      </c>
      <c r="AH54" s="18">
        <v>0.60270000000000001</v>
      </c>
      <c r="AI54" s="2"/>
      <c r="AU54" s="6"/>
      <c r="AV54" s="12"/>
      <c r="AW54" s="16"/>
      <c r="AX54" s="9"/>
      <c r="AY54" s="17" t="s">
        <v>18</v>
      </c>
      <c r="AZ54" s="18">
        <v>0</v>
      </c>
      <c r="BA54" s="2"/>
      <c r="BD54" s="6"/>
      <c r="BE54" s="12"/>
      <c r="BF54" s="16"/>
      <c r="BG54" s="9"/>
      <c r="BH54" s="17" t="s">
        <v>18</v>
      </c>
      <c r="BI54" s="18">
        <v>4.3</v>
      </c>
      <c r="BJ54" s="2"/>
    </row>
    <row r="55" spans="20:62">
      <c r="T55" s="6"/>
      <c r="U55" s="12"/>
      <c r="V55" s="9"/>
      <c r="W55" s="9"/>
      <c r="X55" s="19"/>
      <c r="Y55" s="20"/>
      <c r="Z55" s="2"/>
      <c r="AC55" s="6"/>
      <c r="AD55" s="12"/>
      <c r="AE55" s="9"/>
      <c r="AF55" s="9"/>
      <c r="AG55" s="19"/>
      <c r="AH55" s="20"/>
      <c r="AI55" s="2"/>
      <c r="AU55" s="6"/>
      <c r="AV55" s="12"/>
      <c r="AW55" s="9"/>
      <c r="AX55" s="9"/>
      <c r="AY55" s="19"/>
      <c r="AZ55" s="20"/>
      <c r="BA55" s="2"/>
      <c r="BD55" s="6"/>
      <c r="BE55" s="12"/>
      <c r="BF55" s="9"/>
      <c r="BG55" s="9"/>
      <c r="BH55" s="19"/>
      <c r="BI55" s="20"/>
      <c r="BJ55" s="2"/>
    </row>
    <row r="56" spans="20:62" ht="15.75" thickBot="1">
      <c r="T56" s="6"/>
      <c r="U56" s="12"/>
      <c r="V56" s="12"/>
      <c r="W56" s="12"/>
      <c r="X56" s="23"/>
      <c r="Y56" s="24"/>
      <c r="Z56" s="2"/>
      <c r="AC56" s="6"/>
      <c r="AD56" s="12"/>
      <c r="AE56" s="12"/>
      <c r="AF56" s="12"/>
      <c r="AG56" s="23"/>
      <c r="AH56" s="24"/>
      <c r="AI56" s="2"/>
      <c r="AU56" s="6"/>
      <c r="AV56" s="12"/>
      <c r="AW56" s="12"/>
      <c r="AX56" s="12"/>
      <c r="AY56" s="23"/>
      <c r="AZ56" s="24"/>
      <c r="BA56" s="2"/>
      <c r="BD56" s="6"/>
      <c r="BE56" s="12"/>
      <c r="BF56" s="12"/>
      <c r="BG56" s="12"/>
      <c r="BH56" s="23"/>
      <c r="BI56" s="24"/>
      <c r="BJ56" s="2"/>
    </row>
    <row r="57" spans="20:62" ht="4.5" customHeight="1" thickBot="1">
      <c r="T57" s="26"/>
      <c r="U57" s="27"/>
      <c r="V57" s="27"/>
      <c r="W57" s="27"/>
      <c r="X57" s="27"/>
      <c r="Y57" s="27"/>
      <c r="Z57" s="28"/>
      <c r="AC57" s="26"/>
      <c r="AD57" s="27"/>
      <c r="AE57" s="27"/>
      <c r="AF57" s="27"/>
      <c r="AG57" s="27"/>
      <c r="AH57" s="27"/>
      <c r="AI57" s="28"/>
      <c r="AU57" s="26"/>
      <c r="AV57" s="27"/>
      <c r="AW57" s="27"/>
      <c r="AX57" s="27"/>
      <c r="AY57" s="27"/>
      <c r="AZ57" s="27"/>
      <c r="BA57" s="28"/>
      <c r="BD57" s="26"/>
      <c r="BE57" s="27"/>
      <c r="BF57" s="27"/>
      <c r="BG57" s="27"/>
      <c r="BH57" s="27"/>
      <c r="BI57" s="27"/>
      <c r="BJ57" s="28"/>
    </row>
    <row r="58" spans="20:62" ht="15.75" thickBot="1"/>
    <row r="59" spans="20:62" ht="4.5" customHeight="1" thickBot="1">
      <c r="AC59" s="3"/>
      <c r="AD59" s="4"/>
      <c r="AE59" s="4"/>
      <c r="AF59" s="4"/>
      <c r="AG59" s="4"/>
      <c r="AH59" s="4"/>
      <c r="AI59" s="5"/>
      <c r="BD59" s="3"/>
      <c r="BE59" s="4"/>
      <c r="BF59" s="4"/>
      <c r="BG59" s="4"/>
      <c r="BH59" s="4"/>
      <c r="BI59" s="4"/>
      <c r="BJ59" s="5"/>
    </row>
    <row r="60" spans="20:62" ht="21.75" thickBot="1">
      <c r="AC60" s="6"/>
      <c r="AD60" s="7" t="s">
        <v>339</v>
      </c>
      <c r="AE60" s="8" t="s">
        <v>337</v>
      </c>
      <c r="AF60" s="9"/>
      <c r="AG60" s="10" t="s">
        <v>3</v>
      </c>
      <c r="AI60" s="2"/>
      <c r="BD60" s="6"/>
      <c r="BE60" s="7" t="s">
        <v>441</v>
      </c>
      <c r="BF60" s="8" t="s">
        <v>437</v>
      </c>
      <c r="BG60" s="9"/>
      <c r="BH60" s="10" t="s">
        <v>420</v>
      </c>
      <c r="BJ60" s="2"/>
    </row>
    <row r="61" spans="20:62" ht="15.75" thickBot="1">
      <c r="AC61" s="6"/>
      <c r="AD61" s="12"/>
      <c r="AE61" s="13"/>
      <c r="AF61" s="9"/>
      <c r="AG61" s="14" t="s">
        <v>17</v>
      </c>
      <c r="AH61" s="15">
        <v>0</v>
      </c>
      <c r="AI61" s="2"/>
      <c r="BD61" s="6"/>
      <c r="BE61" s="12"/>
      <c r="BF61" s="13"/>
      <c r="BG61" s="9"/>
      <c r="BH61" s="14" t="s">
        <v>17</v>
      </c>
      <c r="BI61" s="15">
        <v>1000</v>
      </c>
      <c r="BJ61" s="2"/>
    </row>
    <row r="62" spans="20:62">
      <c r="AC62" s="6"/>
      <c r="AD62" s="12"/>
      <c r="AE62" s="16"/>
      <c r="AF62" s="9"/>
      <c r="AG62" s="17" t="s">
        <v>18</v>
      </c>
      <c r="AH62" s="18">
        <v>0.31609999999999999</v>
      </c>
      <c r="AI62" s="2"/>
      <c r="BD62" s="6"/>
      <c r="BE62" s="12"/>
      <c r="BF62" s="16"/>
      <c r="BG62" s="9"/>
      <c r="BH62" s="17" t="s">
        <v>18</v>
      </c>
      <c r="BI62" s="18">
        <v>4.0999999999999996</v>
      </c>
      <c r="BJ62" s="2"/>
    </row>
    <row r="63" spans="20:62">
      <c r="AC63" s="6"/>
      <c r="AD63" s="12"/>
      <c r="AE63" s="9"/>
      <c r="AF63" s="9"/>
      <c r="AG63" s="19"/>
      <c r="AH63" s="20"/>
      <c r="AI63" s="2"/>
      <c r="BD63" s="6"/>
      <c r="BE63" s="12"/>
      <c r="BF63" s="9"/>
      <c r="BG63" s="9"/>
      <c r="BH63" s="19"/>
      <c r="BI63" s="20"/>
      <c r="BJ63" s="2"/>
    </row>
    <row r="64" spans="20:62" ht="15.75" thickBot="1">
      <c r="AC64" s="6"/>
      <c r="AD64" s="12"/>
      <c r="AE64" s="12"/>
      <c r="AF64" s="12"/>
      <c r="AG64" s="23"/>
      <c r="AH64" s="24"/>
      <c r="AI64" s="2"/>
      <c r="BD64" s="6"/>
      <c r="BE64" s="12"/>
      <c r="BF64" s="12"/>
      <c r="BG64" s="12"/>
      <c r="BH64" s="23"/>
      <c r="BI64" s="24"/>
      <c r="BJ64" s="2"/>
    </row>
    <row r="65" spans="29:62" ht="6" customHeight="1" thickBot="1">
      <c r="AC65" s="26"/>
      <c r="AD65" s="27"/>
      <c r="AE65" s="27"/>
      <c r="AF65" s="27"/>
      <c r="AG65" s="27"/>
      <c r="AH65" s="27"/>
      <c r="AI65" s="28"/>
      <c r="BD65" s="26"/>
      <c r="BE65" s="27"/>
      <c r="BF65" s="27"/>
      <c r="BG65" s="27"/>
      <c r="BH65" s="27"/>
      <c r="BI65" s="27"/>
      <c r="BJ65" s="28"/>
    </row>
    <row r="66" spans="29:62" ht="15.75" thickBot="1"/>
    <row r="67" spans="29:62" ht="4.5" customHeight="1" thickBot="1">
      <c r="AC67" s="3"/>
      <c r="AD67" s="4"/>
      <c r="AE67" s="4"/>
      <c r="AF67" s="4"/>
      <c r="AG67" s="4"/>
      <c r="AH67" s="4"/>
      <c r="AI67" s="5"/>
      <c r="BD67" s="3"/>
      <c r="BE67" s="4"/>
      <c r="BF67" s="4"/>
      <c r="BG67" s="4"/>
      <c r="BH67" s="4"/>
      <c r="BI67" s="4"/>
      <c r="BJ67" s="5"/>
    </row>
    <row r="68" spans="29:62" ht="21.75" thickBot="1">
      <c r="AC68" s="6"/>
      <c r="AD68" s="7" t="s">
        <v>340</v>
      </c>
      <c r="AE68" s="8" t="s">
        <v>504</v>
      </c>
      <c r="AF68" s="9"/>
      <c r="AG68" s="10" t="s">
        <v>3</v>
      </c>
      <c r="AI68" s="2"/>
      <c r="BD68" s="6"/>
      <c r="BE68" s="7" t="s">
        <v>442</v>
      </c>
      <c r="BF68" s="8" t="s">
        <v>439</v>
      </c>
      <c r="BG68" s="9"/>
      <c r="BH68" s="10" t="s">
        <v>420</v>
      </c>
      <c r="BJ68" s="2"/>
    </row>
    <row r="69" spans="29:62" ht="15.75" thickBot="1">
      <c r="AC69" s="6"/>
      <c r="AD69" s="12"/>
      <c r="AE69" s="13"/>
      <c r="AF69" s="9"/>
      <c r="AG69" s="14" t="s">
        <v>17</v>
      </c>
      <c r="AH69" s="15">
        <v>0</v>
      </c>
      <c r="AI69" s="2"/>
      <c r="BD69" s="6"/>
      <c r="BE69" s="12"/>
      <c r="BF69" s="13"/>
      <c r="BG69" s="9"/>
      <c r="BH69" s="14" t="s">
        <v>17</v>
      </c>
      <c r="BI69" s="15">
        <v>1000</v>
      </c>
      <c r="BJ69" s="2"/>
    </row>
    <row r="70" spans="29:62">
      <c r="AC70" s="6"/>
      <c r="AD70" s="12"/>
      <c r="AE70" s="16"/>
      <c r="AF70" s="9"/>
      <c r="AG70" s="17" t="s">
        <v>18</v>
      </c>
      <c r="AH70" s="18">
        <v>2.9581</v>
      </c>
      <c r="AI70" s="2"/>
      <c r="BD70" s="6"/>
      <c r="BE70" s="12"/>
      <c r="BF70" s="16"/>
      <c r="BG70" s="9"/>
      <c r="BH70" s="17" t="s">
        <v>18</v>
      </c>
      <c r="BI70" s="18">
        <v>3.8</v>
      </c>
      <c r="BJ70" s="2"/>
    </row>
    <row r="71" spans="29:62">
      <c r="AC71" s="6"/>
      <c r="AD71" s="12"/>
      <c r="AE71" s="9"/>
      <c r="AF71" s="9"/>
      <c r="AG71" s="19"/>
      <c r="AH71" s="20"/>
      <c r="AI71" s="2"/>
      <c r="BD71" s="6"/>
      <c r="BE71" s="12"/>
      <c r="BF71" s="9"/>
      <c r="BG71" s="9"/>
      <c r="BH71" s="19"/>
      <c r="BI71" s="20"/>
      <c r="BJ71" s="2"/>
    </row>
    <row r="72" spans="29:62" ht="15.75" thickBot="1">
      <c r="AC72" s="6"/>
      <c r="AD72" s="12"/>
      <c r="AE72" s="12"/>
      <c r="AF72" s="12"/>
      <c r="AG72" s="23"/>
      <c r="AH72" s="24"/>
      <c r="AI72" s="2"/>
      <c r="BD72" s="6"/>
      <c r="BE72" s="12"/>
      <c r="BF72" s="12"/>
      <c r="BG72" s="12"/>
      <c r="BH72" s="23"/>
      <c r="BI72" s="24"/>
      <c r="BJ72" s="2"/>
    </row>
    <row r="73" spans="29:62" ht="6" customHeight="1" thickBot="1">
      <c r="AC73" s="26"/>
      <c r="AD73" s="27"/>
      <c r="AE73" s="27"/>
      <c r="AF73" s="27"/>
      <c r="AG73" s="27"/>
      <c r="AH73" s="27"/>
      <c r="AI73" s="28"/>
      <c r="BD73" s="26"/>
      <c r="BE73" s="27"/>
      <c r="BF73" s="27"/>
      <c r="BG73" s="27"/>
      <c r="BH73" s="27"/>
      <c r="BI73" s="27"/>
      <c r="BJ73" s="28"/>
    </row>
    <row r="74" spans="29:62" ht="15.75" thickBot="1"/>
    <row r="75" spans="29:62" ht="6" customHeight="1" thickBot="1">
      <c r="AC75" s="3"/>
      <c r="AD75" s="4"/>
      <c r="AE75" s="4"/>
      <c r="AF75" s="4"/>
      <c r="AG75" s="4"/>
      <c r="AH75" s="4"/>
      <c r="AI75" s="5"/>
      <c r="BD75" s="3"/>
      <c r="BE75" s="4"/>
      <c r="BF75" s="4"/>
      <c r="BG75" s="4"/>
      <c r="BH75" s="4"/>
      <c r="BI75" s="4"/>
      <c r="BJ75" s="5"/>
    </row>
    <row r="76" spans="29:62" ht="21.75" thickBot="1">
      <c r="AC76" s="6"/>
      <c r="AD76" s="7" t="s">
        <v>341</v>
      </c>
      <c r="AE76" s="8" t="s">
        <v>650</v>
      </c>
      <c r="AF76" s="9"/>
      <c r="AG76" s="10" t="s">
        <v>3</v>
      </c>
      <c r="AI76" s="2"/>
      <c r="BD76" s="6"/>
      <c r="BE76" s="7" t="s">
        <v>443</v>
      </c>
      <c r="BF76" s="8" t="s">
        <v>440</v>
      </c>
      <c r="BG76" s="9"/>
      <c r="BH76" s="10" t="s">
        <v>420</v>
      </c>
      <c r="BJ76" s="2"/>
    </row>
    <row r="77" spans="29:62" ht="15.75" thickBot="1">
      <c r="AC77" s="6"/>
      <c r="AD77" s="12"/>
      <c r="AE77" s="13"/>
      <c r="AF77" s="9"/>
      <c r="AG77" s="14" t="s">
        <v>17</v>
      </c>
      <c r="AH77" s="15">
        <v>0</v>
      </c>
      <c r="AI77" s="2"/>
      <c r="BD77" s="6"/>
      <c r="BE77" s="12"/>
      <c r="BF77" s="13"/>
      <c r="BG77" s="9"/>
      <c r="BH77" s="14" t="s">
        <v>17</v>
      </c>
      <c r="BI77" s="15">
        <v>9999</v>
      </c>
      <c r="BJ77" s="2"/>
    </row>
    <row r="78" spans="29:62">
      <c r="AC78" s="6"/>
      <c r="AD78" s="12"/>
      <c r="AE78" s="16"/>
      <c r="AF78" s="9"/>
      <c r="AG78" s="17" t="s">
        <v>18</v>
      </c>
      <c r="AH78" s="18">
        <v>3.6688000000000001</v>
      </c>
      <c r="AI78" s="2"/>
      <c r="BD78" s="6"/>
      <c r="BE78" s="12"/>
      <c r="BF78" s="16"/>
      <c r="BG78" s="9"/>
      <c r="BH78" s="17" t="s">
        <v>18</v>
      </c>
      <c r="BI78" s="18">
        <v>0</v>
      </c>
      <c r="BJ78" s="2"/>
    </row>
    <row r="79" spans="29:62">
      <c r="AC79" s="6"/>
      <c r="AD79" s="12"/>
      <c r="AE79" s="9"/>
      <c r="AF79" s="9"/>
      <c r="AG79" s="19"/>
      <c r="AH79" s="20"/>
      <c r="AI79" s="2"/>
      <c r="BD79" s="6"/>
      <c r="BE79" s="12"/>
      <c r="BF79" s="9"/>
      <c r="BG79" s="9"/>
      <c r="BH79" s="19"/>
      <c r="BI79" s="20"/>
      <c r="BJ79" s="2"/>
    </row>
    <row r="80" spans="29:62" ht="15.75" thickBot="1">
      <c r="AC80" s="6"/>
      <c r="AD80" s="12"/>
      <c r="AE80" s="12"/>
      <c r="AF80" s="12"/>
      <c r="AG80" s="23"/>
      <c r="AH80" s="24"/>
      <c r="AI80" s="2"/>
      <c r="BD80" s="6"/>
      <c r="BE80" s="12"/>
      <c r="BF80" s="12"/>
      <c r="BG80" s="12"/>
      <c r="BH80" s="23"/>
      <c r="BI80" s="24"/>
      <c r="BJ80" s="2"/>
    </row>
    <row r="81" spans="29:62" ht="6" customHeight="1" thickBot="1">
      <c r="AC81" s="26"/>
      <c r="AD81" s="27"/>
      <c r="AE81" s="27"/>
      <c r="AF81" s="27"/>
      <c r="AG81" s="27"/>
      <c r="AH81" s="27"/>
      <c r="AI81" s="28"/>
      <c r="BD81" s="26"/>
      <c r="BE81" s="27"/>
      <c r="BF81" s="27"/>
      <c r="BG81" s="27"/>
      <c r="BH81" s="27"/>
      <c r="BI81" s="27"/>
      <c r="BJ81" s="28"/>
    </row>
    <row r="82" spans="29:62" ht="15.75" thickBot="1"/>
    <row r="83" spans="29:62" ht="15.75" thickBot="1">
      <c r="BD83" s="3"/>
      <c r="BE83" s="4"/>
      <c r="BF83" s="4"/>
      <c r="BG83" s="4"/>
      <c r="BH83" s="4"/>
      <c r="BI83" s="4"/>
      <c r="BJ83" s="5"/>
    </row>
    <row r="84" spans="29:62" ht="21.75" thickBot="1">
      <c r="BD84" s="6"/>
      <c r="BE84" s="7" t="s">
        <v>550</v>
      </c>
      <c r="BF84" s="217" t="s">
        <v>561</v>
      </c>
      <c r="BG84" s="9"/>
      <c r="BH84" s="10" t="s">
        <v>560</v>
      </c>
      <c r="BJ84" s="2"/>
    </row>
    <row r="85" spans="29:62" ht="15.75" thickBot="1">
      <c r="BD85" s="6"/>
      <c r="BE85" s="12"/>
      <c r="BF85" s="13"/>
      <c r="BG85" s="9"/>
      <c r="BH85" s="14" t="s">
        <v>17</v>
      </c>
      <c r="BI85" s="15">
        <v>1000</v>
      </c>
      <c r="BJ85" s="2"/>
    </row>
    <row r="86" spans="29:62">
      <c r="BD86" s="6"/>
      <c r="BE86" s="12"/>
      <c r="BF86" s="16"/>
      <c r="BG86" s="9"/>
      <c r="BH86" s="17" t="s">
        <v>18</v>
      </c>
      <c r="BI86" s="18">
        <v>9.16</v>
      </c>
      <c r="BJ86" s="2"/>
    </row>
    <row r="87" spans="29:62">
      <c r="BD87" s="6"/>
      <c r="BE87" s="12"/>
      <c r="BF87" s="9"/>
      <c r="BG87" s="9"/>
      <c r="BH87" s="19"/>
      <c r="BI87" s="20"/>
      <c r="BJ87" s="2"/>
    </row>
    <row r="88" spans="29:62" ht="15.75" thickBot="1">
      <c r="BD88" s="6"/>
      <c r="BE88" s="12"/>
      <c r="BF88" s="12"/>
      <c r="BG88" s="12"/>
      <c r="BH88" s="23"/>
      <c r="BI88" s="24"/>
      <c r="BJ88" s="2"/>
    </row>
    <row r="89" spans="29:62" ht="15.75" thickBot="1">
      <c r="BD89" s="26"/>
      <c r="BE89" s="27"/>
      <c r="BF89" s="27"/>
      <c r="BG89" s="27"/>
      <c r="BH89" s="27"/>
      <c r="BI89" s="27"/>
      <c r="BJ89" s="28"/>
    </row>
    <row r="90" spans="29:62" ht="15.75" thickBot="1"/>
    <row r="91" spans="29:62" ht="15.75" thickBot="1">
      <c r="BD91" s="3"/>
      <c r="BE91" s="4"/>
      <c r="BF91" s="4"/>
      <c r="BG91" s="4"/>
      <c r="BH91" s="4"/>
      <c r="BI91" s="4"/>
      <c r="BJ91" s="5"/>
    </row>
    <row r="92" spans="29:62" ht="21.75" thickBot="1">
      <c r="BD92" s="6"/>
      <c r="BE92" s="7" t="s">
        <v>551</v>
      </c>
      <c r="BF92" s="8" t="s">
        <v>432</v>
      </c>
      <c r="BG92" s="9"/>
      <c r="BH92" s="10" t="s">
        <v>560</v>
      </c>
      <c r="BJ92" s="2"/>
    </row>
    <row r="93" spans="29:62" ht="15.75" thickBot="1">
      <c r="BD93" s="6"/>
      <c r="BE93" s="12"/>
      <c r="BF93" s="13"/>
      <c r="BG93" s="9"/>
      <c r="BH93" s="14" t="s">
        <v>17</v>
      </c>
      <c r="BI93" s="15">
        <v>1000</v>
      </c>
      <c r="BJ93" s="2"/>
    </row>
    <row r="94" spans="29:62">
      <c r="BD94" s="6"/>
      <c r="BE94" s="12"/>
      <c r="BF94" s="16"/>
      <c r="BG94" s="9"/>
      <c r="BH94" s="17" t="s">
        <v>18</v>
      </c>
      <c r="BI94" s="18">
        <v>9.9</v>
      </c>
      <c r="BJ94" s="2"/>
    </row>
    <row r="95" spans="29:62">
      <c r="BD95" s="6"/>
      <c r="BE95" s="12"/>
      <c r="BF95" s="9"/>
      <c r="BG95" s="9"/>
      <c r="BH95" s="19"/>
      <c r="BI95" s="20"/>
      <c r="BJ95" s="2"/>
    </row>
    <row r="96" spans="29:62" ht="15.75" thickBot="1">
      <c r="BD96" s="6"/>
      <c r="BE96" s="12"/>
      <c r="BF96" s="12"/>
      <c r="BG96" s="12"/>
      <c r="BH96" s="23"/>
      <c r="BI96" s="24"/>
      <c r="BJ96" s="2"/>
    </row>
    <row r="97" spans="56:62" ht="15.75" thickBot="1">
      <c r="BD97" s="26"/>
      <c r="BE97" s="27"/>
      <c r="BF97" s="27"/>
      <c r="BG97" s="27"/>
      <c r="BH97" s="27"/>
      <c r="BI97" s="27"/>
      <c r="BJ97" s="28"/>
    </row>
    <row r="98" spans="56:62" ht="15.75" thickBot="1"/>
    <row r="99" spans="56:62" ht="15.75" thickBot="1">
      <c r="BD99" s="3"/>
      <c r="BE99" s="4"/>
      <c r="BF99" s="4"/>
      <c r="BG99" s="4"/>
      <c r="BH99" s="4"/>
      <c r="BI99" s="4"/>
      <c r="BJ99" s="5"/>
    </row>
    <row r="100" spans="56:62" ht="21.75" thickBot="1">
      <c r="BD100" s="6"/>
      <c r="BE100" s="7" t="s">
        <v>552</v>
      </c>
      <c r="BF100" s="8" t="s">
        <v>433</v>
      </c>
      <c r="BG100" s="9"/>
      <c r="BH100" s="10" t="s">
        <v>560</v>
      </c>
      <c r="BJ100" s="2"/>
    </row>
    <row r="101" spans="56:62" ht="15.75" thickBot="1">
      <c r="BD101" s="6"/>
      <c r="BE101" s="12"/>
      <c r="BF101" s="13"/>
      <c r="BG101" s="9"/>
      <c r="BH101" s="14" t="s">
        <v>17</v>
      </c>
      <c r="BI101" s="15">
        <v>1000</v>
      </c>
      <c r="BJ101" s="2"/>
    </row>
    <row r="102" spans="56:62">
      <c r="BD102" s="6"/>
      <c r="BE102" s="12"/>
      <c r="BF102" s="16"/>
      <c r="BG102" s="9"/>
      <c r="BH102" s="17" t="s">
        <v>18</v>
      </c>
      <c r="BI102" s="18">
        <v>6.9</v>
      </c>
      <c r="BJ102" s="2"/>
    </row>
    <row r="103" spans="56:62">
      <c r="BD103" s="6"/>
      <c r="BE103" s="12"/>
      <c r="BF103" s="9"/>
      <c r="BG103" s="9"/>
      <c r="BH103" s="19"/>
      <c r="BI103" s="20"/>
      <c r="BJ103" s="2"/>
    </row>
    <row r="104" spans="56:62" ht="15.75" thickBot="1">
      <c r="BD104" s="6"/>
      <c r="BE104" s="12"/>
      <c r="BF104" s="12"/>
      <c r="BG104" s="12"/>
      <c r="BH104" s="23"/>
      <c r="BI104" s="24"/>
      <c r="BJ104" s="2"/>
    </row>
    <row r="105" spans="56:62" ht="15.75" thickBot="1">
      <c r="BD105" s="26"/>
      <c r="BE105" s="27"/>
      <c r="BF105" s="27"/>
      <c r="BG105" s="27"/>
      <c r="BH105" s="27"/>
      <c r="BI105" s="27"/>
      <c r="BJ105" s="28"/>
    </row>
    <row r="106" spans="56:62" ht="15.75" thickBot="1"/>
    <row r="107" spans="56:62" ht="15.75" thickBot="1">
      <c r="BD107" s="3"/>
      <c r="BE107" s="4"/>
      <c r="BF107" s="4"/>
      <c r="BG107" s="4"/>
      <c r="BH107" s="4"/>
      <c r="BI107" s="4"/>
      <c r="BJ107" s="5"/>
    </row>
    <row r="108" spans="56:62" ht="21.75" thickBot="1">
      <c r="BD108" s="6"/>
      <c r="BE108" s="7" t="s">
        <v>553</v>
      </c>
      <c r="BF108" s="8" t="s">
        <v>434</v>
      </c>
      <c r="BG108" s="9"/>
      <c r="BH108" s="10" t="s">
        <v>560</v>
      </c>
      <c r="BJ108" s="2"/>
    </row>
    <row r="109" spans="56:62" ht="15.75" thickBot="1">
      <c r="BD109" s="6"/>
      <c r="BE109" s="12"/>
      <c r="BF109" s="13"/>
      <c r="BG109" s="9"/>
      <c r="BH109" s="14" t="s">
        <v>17</v>
      </c>
      <c r="BI109" s="15">
        <v>1000</v>
      </c>
      <c r="BJ109" s="2"/>
    </row>
    <row r="110" spans="56:62">
      <c r="BD110" s="6"/>
      <c r="BE110" s="12"/>
      <c r="BF110" s="16"/>
      <c r="BG110" s="9"/>
      <c r="BH110" s="17" t="s">
        <v>18</v>
      </c>
      <c r="BI110" s="18">
        <v>6.7</v>
      </c>
      <c r="BJ110" s="2"/>
    </row>
    <row r="111" spans="56:62">
      <c r="BD111" s="6"/>
      <c r="BE111" s="12"/>
      <c r="BF111" s="9"/>
      <c r="BG111" s="9"/>
      <c r="BH111" s="19"/>
      <c r="BI111" s="20"/>
      <c r="BJ111" s="2"/>
    </row>
    <row r="112" spans="56:62" ht="15.75" thickBot="1">
      <c r="BD112" s="6"/>
      <c r="BE112" s="12"/>
      <c r="BF112" s="12"/>
      <c r="BG112" s="12"/>
      <c r="BH112" s="23"/>
      <c r="BI112" s="24"/>
      <c r="BJ112" s="2"/>
    </row>
    <row r="113" spans="56:62" ht="15.75" thickBot="1">
      <c r="BD113" s="26"/>
      <c r="BE113" s="27"/>
      <c r="BF113" s="27"/>
      <c r="BG113" s="27"/>
      <c r="BH113" s="27"/>
      <c r="BI113" s="27"/>
      <c r="BJ113" s="28"/>
    </row>
    <row r="114" spans="56:62" ht="15.75" thickBot="1"/>
    <row r="115" spans="56:62" ht="15.75" thickBot="1">
      <c r="BD115" s="3"/>
      <c r="BE115" s="4"/>
      <c r="BF115" s="4"/>
      <c r="BG115" s="4"/>
      <c r="BH115" s="4"/>
      <c r="BI115" s="4"/>
      <c r="BJ115" s="5"/>
    </row>
    <row r="116" spans="56:62" ht="21.75" thickBot="1">
      <c r="BD116" s="6"/>
      <c r="BE116" s="7" t="s">
        <v>554</v>
      </c>
      <c r="BF116" s="8" t="s">
        <v>435</v>
      </c>
      <c r="BG116" s="9"/>
      <c r="BH116" s="10" t="s">
        <v>560</v>
      </c>
      <c r="BJ116" s="2"/>
    </row>
    <row r="117" spans="56:62" ht="15.75" thickBot="1">
      <c r="BD117" s="6"/>
      <c r="BE117" s="12"/>
      <c r="BF117" s="13"/>
      <c r="BG117" s="9"/>
      <c r="BH117" s="14" t="s">
        <v>17</v>
      </c>
      <c r="BI117" s="15">
        <v>999</v>
      </c>
      <c r="BJ117" s="2"/>
    </row>
    <row r="118" spans="56:62">
      <c r="BD118" s="6"/>
      <c r="BE118" s="12"/>
      <c r="BF118" s="16"/>
      <c r="BG118" s="9"/>
      <c r="BH118" s="17" t="s">
        <v>18</v>
      </c>
      <c r="BI118" s="18">
        <v>5.9</v>
      </c>
      <c r="BJ118" s="2"/>
    </row>
    <row r="119" spans="56:62">
      <c r="BD119" s="6"/>
      <c r="BE119" s="12"/>
      <c r="BF119" s="9"/>
      <c r="BG119" s="9"/>
      <c r="BH119" s="19"/>
      <c r="BI119" s="20"/>
      <c r="BJ119" s="2"/>
    </row>
    <row r="120" spans="56:62" ht="15.75" thickBot="1">
      <c r="BD120" s="6"/>
      <c r="BE120" s="12"/>
      <c r="BF120" s="12"/>
      <c r="BG120" s="12"/>
      <c r="BH120" s="23"/>
      <c r="BI120" s="24"/>
      <c r="BJ120" s="2"/>
    </row>
    <row r="121" spans="56:62" ht="15.75" thickBot="1">
      <c r="BD121" s="26"/>
      <c r="BE121" s="27"/>
      <c r="BF121" s="27"/>
      <c r="BG121" s="27"/>
      <c r="BH121" s="27"/>
      <c r="BI121" s="27"/>
      <c r="BJ121" s="28"/>
    </row>
    <row r="122" spans="56:62" ht="15.75" thickBot="1"/>
    <row r="123" spans="56:62" ht="15.75" thickBot="1">
      <c r="BD123" s="3"/>
      <c r="BE123" s="4"/>
      <c r="BF123" s="4"/>
      <c r="BG123" s="4"/>
      <c r="BH123" s="4"/>
      <c r="BI123" s="4"/>
      <c r="BJ123" s="5"/>
    </row>
    <row r="124" spans="56:62" ht="21.75" thickBot="1">
      <c r="BD124" s="6"/>
      <c r="BE124" s="7" t="s">
        <v>555</v>
      </c>
      <c r="BF124" s="8" t="s">
        <v>436</v>
      </c>
      <c r="BG124" s="9"/>
      <c r="BH124" s="10" t="s">
        <v>560</v>
      </c>
      <c r="BJ124" s="2"/>
    </row>
    <row r="125" spans="56:62" ht="15.75" thickBot="1">
      <c r="BD125" s="6"/>
      <c r="BE125" s="12"/>
      <c r="BF125" s="13"/>
      <c r="BG125" s="9"/>
      <c r="BH125" s="14" t="s">
        <v>17</v>
      </c>
      <c r="BI125" s="15">
        <v>1000</v>
      </c>
      <c r="BJ125" s="2"/>
    </row>
    <row r="126" spans="56:62">
      <c r="BD126" s="6"/>
      <c r="BE126" s="12"/>
      <c r="BF126" s="16"/>
      <c r="BG126" s="9"/>
      <c r="BH126" s="17" t="s">
        <v>18</v>
      </c>
      <c r="BI126" s="18">
        <v>4.9000000000000004</v>
      </c>
      <c r="BJ126" s="2"/>
    </row>
    <row r="127" spans="56:62">
      <c r="BD127" s="6"/>
      <c r="BE127" s="12"/>
      <c r="BF127" s="9"/>
      <c r="BG127" s="9"/>
      <c r="BH127" s="19"/>
      <c r="BI127" s="20"/>
      <c r="BJ127" s="2"/>
    </row>
    <row r="128" spans="56:62" ht="15.75" thickBot="1">
      <c r="BD128" s="6"/>
      <c r="BE128" s="12"/>
      <c r="BF128" s="12"/>
      <c r="BG128" s="12"/>
      <c r="BH128" s="23"/>
      <c r="BI128" s="24"/>
      <c r="BJ128" s="2"/>
    </row>
    <row r="129" spans="56:62" ht="15.75" thickBot="1">
      <c r="BD129" s="26"/>
      <c r="BE129" s="27"/>
      <c r="BF129" s="27"/>
      <c r="BG129" s="27"/>
      <c r="BH129" s="27"/>
      <c r="BI129" s="27"/>
      <c r="BJ129" s="28"/>
    </row>
    <row r="130" spans="56:62" ht="15.75" thickBot="1"/>
    <row r="131" spans="56:62" ht="15.75" thickBot="1">
      <c r="BD131" s="3"/>
      <c r="BE131" s="4"/>
      <c r="BF131" s="4"/>
      <c r="BG131" s="4"/>
      <c r="BH131" s="4"/>
      <c r="BI131" s="4"/>
      <c r="BJ131" s="5"/>
    </row>
    <row r="132" spans="56:62" ht="21.75" thickBot="1">
      <c r="BD132" s="6"/>
      <c r="BE132" s="7" t="s">
        <v>556</v>
      </c>
      <c r="BF132" s="8" t="s">
        <v>438</v>
      </c>
      <c r="BG132" s="9"/>
      <c r="BH132" s="10" t="s">
        <v>560</v>
      </c>
      <c r="BJ132" s="2"/>
    </row>
    <row r="133" spans="56:62" ht="15.75" thickBot="1">
      <c r="BD133" s="6"/>
      <c r="BE133" s="12"/>
      <c r="BF133" s="13"/>
      <c r="BG133" s="9"/>
      <c r="BH133" s="14" t="s">
        <v>17</v>
      </c>
      <c r="BI133" s="15">
        <v>1000</v>
      </c>
      <c r="BJ133" s="2"/>
    </row>
    <row r="134" spans="56:62">
      <c r="BD134" s="6"/>
      <c r="BE134" s="12"/>
      <c r="BF134" s="16"/>
      <c r="BG134" s="9"/>
      <c r="BH134" s="17" t="s">
        <v>18</v>
      </c>
      <c r="BI134" s="18">
        <v>4.3</v>
      </c>
      <c r="BJ134" s="2"/>
    </row>
    <row r="135" spans="56:62">
      <c r="BD135" s="6"/>
      <c r="BE135" s="12"/>
      <c r="BF135" s="9"/>
      <c r="BG135" s="9"/>
      <c r="BH135" s="19"/>
      <c r="BI135" s="20"/>
      <c r="BJ135" s="2"/>
    </row>
    <row r="136" spans="56:62" ht="15.75" thickBot="1">
      <c r="BD136" s="6"/>
      <c r="BE136" s="12"/>
      <c r="BF136" s="12"/>
      <c r="BG136" s="12"/>
      <c r="BH136" s="23"/>
      <c r="BI136" s="24"/>
      <c r="BJ136" s="2"/>
    </row>
    <row r="137" spans="56:62" ht="15.75" thickBot="1">
      <c r="BD137" s="26"/>
      <c r="BE137" s="27"/>
      <c r="BF137" s="27"/>
      <c r="BG137" s="27"/>
      <c r="BH137" s="27"/>
      <c r="BI137" s="27"/>
      <c r="BJ137" s="28"/>
    </row>
    <row r="138" spans="56:62" ht="15.75" thickBot="1"/>
    <row r="139" spans="56:62" ht="15.75" thickBot="1">
      <c r="BD139" s="3"/>
      <c r="BE139" s="4"/>
      <c r="BF139" s="4"/>
      <c r="BG139" s="4"/>
      <c r="BH139" s="4"/>
      <c r="BI139" s="4"/>
      <c r="BJ139" s="5"/>
    </row>
    <row r="140" spans="56:62" ht="21.75" thickBot="1">
      <c r="BD140" s="6"/>
      <c r="BE140" s="7" t="s">
        <v>557</v>
      </c>
      <c r="BF140" s="8" t="s">
        <v>437</v>
      </c>
      <c r="BG140" s="9"/>
      <c r="BH140" s="10" t="s">
        <v>560</v>
      </c>
      <c r="BJ140" s="2"/>
    </row>
    <row r="141" spans="56:62" ht="15.75" thickBot="1">
      <c r="BD141" s="6"/>
      <c r="BE141" s="12"/>
      <c r="BF141" s="13"/>
      <c r="BG141" s="9"/>
      <c r="BH141" s="14" t="s">
        <v>17</v>
      </c>
      <c r="BI141" s="15">
        <v>1000</v>
      </c>
      <c r="BJ141" s="2"/>
    </row>
    <row r="142" spans="56:62">
      <c r="BD142" s="6"/>
      <c r="BE142" s="12"/>
      <c r="BF142" s="16"/>
      <c r="BG142" s="9"/>
      <c r="BH142" s="17" t="s">
        <v>18</v>
      </c>
      <c r="BI142" s="18">
        <v>4.0999999999999996</v>
      </c>
      <c r="BJ142" s="2"/>
    </row>
    <row r="143" spans="56:62">
      <c r="BD143" s="6"/>
      <c r="BE143" s="12"/>
      <c r="BF143" s="9"/>
      <c r="BG143" s="9"/>
      <c r="BH143" s="19"/>
      <c r="BI143" s="20"/>
      <c r="BJ143" s="2"/>
    </row>
    <row r="144" spans="56:62" ht="15.75" thickBot="1">
      <c r="BD144" s="6"/>
      <c r="BE144" s="12"/>
      <c r="BF144" s="12"/>
      <c r="BG144" s="12"/>
      <c r="BH144" s="23"/>
      <c r="BI144" s="24"/>
      <c r="BJ144" s="2"/>
    </row>
    <row r="145" spans="56:62" ht="15.75" thickBot="1">
      <c r="BD145" s="26"/>
      <c r="BE145" s="27"/>
      <c r="BF145" s="27"/>
      <c r="BG145" s="27"/>
      <c r="BH145" s="27"/>
      <c r="BI145" s="27"/>
      <c r="BJ145" s="28"/>
    </row>
    <row r="146" spans="56:62" ht="15.75" thickBot="1"/>
    <row r="147" spans="56:62" ht="15.75" thickBot="1">
      <c r="BD147" s="3"/>
      <c r="BE147" s="4"/>
      <c r="BF147" s="4"/>
      <c r="BG147" s="4"/>
      <c r="BH147" s="4"/>
      <c r="BI147" s="4"/>
      <c r="BJ147" s="5"/>
    </row>
    <row r="148" spans="56:62" ht="21.75" thickBot="1">
      <c r="BD148" s="6"/>
      <c r="BE148" s="7" t="s">
        <v>558</v>
      </c>
      <c r="BF148" s="8" t="s">
        <v>439</v>
      </c>
      <c r="BG148" s="9"/>
      <c r="BH148" s="10" t="s">
        <v>560</v>
      </c>
      <c r="BJ148" s="2"/>
    </row>
    <row r="149" spans="56:62" ht="15.75" thickBot="1">
      <c r="BD149" s="6"/>
      <c r="BE149" s="12"/>
      <c r="BF149" s="13"/>
      <c r="BG149" s="9"/>
      <c r="BH149" s="14" t="s">
        <v>17</v>
      </c>
      <c r="BI149" s="15">
        <v>1000</v>
      </c>
      <c r="BJ149" s="2"/>
    </row>
    <row r="150" spans="56:62">
      <c r="BD150" s="6"/>
      <c r="BE150" s="12"/>
      <c r="BF150" s="16"/>
      <c r="BG150" s="9"/>
      <c r="BH150" s="17" t="s">
        <v>18</v>
      </c>
      <c r="BI150" s="18">
        <v>3.8</v>
      </c>
      <c r="BJ150" s="2"/>
    </row>
    <row r="151" spans="56:62">
      <c r="BD151" s="6"/>
      <c r="BE151" s="12"/>
      <c r="BF151" s="9"/>
      <c r="BG151" s="9"/>
      <c r="BH151" s="19"/>
      <c r="BI151" s="20"/>
      <c r="BJ151" s="2"/>
    </row>
    <row r="152" spans="56:62" ht="15.75" thickBot="1">
      <c r="BD152" s="6"/>
      <c r="BE152" s="12"/>
      <c r="BF152" s="12"/>
      <c r="BG152" s="12"/>
      <c r="BH152" s="23"/>
      <c r="BI152" s="24"/>
      <c r="BJ152" s="2"/>
    </row>
    <row r="153" spans="56:62" ht="15.75" thickBot="1">
      <c r="BD153" s="26"/>
      <c r="BE153" s="27"/>
      <c r="BF153" s="27"/>
      <c r="BG153" s="27"/>
      <c r="BH153" s="27"/>
      <c r="BI153" s="27"/>
      <c r="BJ153" s="28"/>
    </row>
    <row r="154" spans="56:62" ht="15.75" thickBot="1"/>
    <row r="155" spans="56:62" ht="15.75" thickBot="1">
      <c r="BD155" s="3"/>
      <c r="BE155" s="4"/>
      <c r="BF155" s="4"/>
      <c r="BG155" s="4"/>
      <c r="BH155" s="4"/>
      <c r="BI155" s="4"/>
      <c r="BJ155" s="5"/>
    </row>
    <row r="156" spans="56:62" ht="21.75" thickBot="1">
      <c r="BD156" s="6"/>
      <c r="BE156" s="7" t="s">
        <v>559</v>
      </c>
      <c r="BF156" s="8" t="s">
        <v>440</v>
      </c>
      <c r="BG156" s="9"/>
      <c r="BH156" s="10" t="s">
        <v>560</v>
      </c>
      <c r="BJ156" s="2"/>
    </row>
    <row r="157" spans="56:62" ht="15.75" thickBot="1">
      <c r="BD157" s="6"/>
      <c r="BE157" s="12"/>
      <c r="BF157" s="13"/>
      <c r="BG157" s="9"/>
      <c r="BH157" s="14" t="s">
        <v>17</v>
      </c>
      <c r="BI157" s="15">
        <v>9999</v>
      </c>
      <c r="BJ157" s="2"/>
    </row>
    <row r="158" spans="56:62">
      <c r="BD158" s="6"/>
      <c r="BE158" s="12"/>
      <c r="BF158" s="16"/>
      <c r="BG158" s="9"/>
      <c r="BH158" s="17" t="s">
        <v>18</v>
      </c>
      <c r="BI158" s="18">
        <v>0</v>
      </c>
      <c r="BJ158" s="2"/>
    </row>
    <row r="159" spans="56:62">
      <c r="BD159" s="6"/>
      <c r="BE159" s="12"/>
      <c r="BF159" s="9"/>
      <c r="BG159" s="9"/>
      <c r="BH159" s="19"/>
      <c r="BI159" s="20"/>
      <c r="BJ159" s="2"/>
    </row>
    <row r="160" spans="56:62" ht="15.75" thickBot="1">
      <c r="BD160" s="6"/>
      <c r="BE160" s="12"/>
      <c r="BF160" s="12"/>
      <c r="BG160" s="12"/>
      <c r="BH160" s="23"/>
      <c r="BI160" s="24"/>
      <c r="BJ160" s="2"/>
    </row>
    <row r="161" spans="56:62" ht="15.75" thickBot="1">
      <c r="BD161" s="26"/>
      <c r="BE161" s="27"/>
      <c r="BF161" s="27"/>
      <c r="BG161" s="27"/>
      <c r="BH161" s="27"/>
      <c r="BI161" s="27"/>
      <c r="BJ161" s="2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U164"/>
  <sheetViews>
    <sheetView zoomScale="85" zoomScaleNormal="85" workbookViewId="0">
      <pane ySplit="9" topLeftCell="A107" activePane="bottomLeft" state="frozen"/>
      <selection pane="bottomLeft" activeCell="D106" sqref="D106"/>
    </sheetView>
  </sheetViews>
  <sheetFormatPr baseColWidth="10" defaultRowHeight="15"/>
  <cols>
    <col min="1" max="1" width="11.5703125" style="71" bestFit="1" customWidth="1"/>
    <col min="2" max="3" width="11" style="127" bestFit="1" customWidth="1"/>
    <col min="4" max="4" width="38.28515625" style="118" bestFit="1" customWidth="1"/>
    <col min="5" max="5" width="50.42578125" style="71" customWidth="1"/>
    <col min="6" max="6" width="11" style="127" bestFit="1" customWidth="1"/>
    <col min="7" max="7" width="17.28515625" style="127" customWidth="1"/>
    <col min="8" max="8" width="36" style="118" bestFit="1" customWidth="1"/>
    <col min="9" max="9" width="32.5703125" style="112" customWidth="1"/>
    <col min="10" max="10" width="9.42578125" style="127" customWidth="1"/>
    <col min="11" max="11" width="9.42578125" style="127" bestFit="1" customWidth="1"/>
    <col min="12" max="12" width="40.28515625" style="118" customWidth="1"/>
    <col min="13" max="13" width="30.85546875" style="71" customWidth="1"/>
    <col min="14" max="14" width="3.42578125" customWidth="1"/>
    <col min="15" max="15" width="21.7109375" bestFit="1" customWidth="1"/>
    <col min="16" max="16" width="10.7109375" bestFit="1" customWidth="1"/>
    <col min="18" max="18" width="9" customWidth="1"/>
    <col min="19" max="19" width="10" customWidth="1"/>
    <col min="20" max="20" width="4.5703125" customWidth="1"/>
    <col min="21" max="21" width="68.7109375" customWidth="1"/>
  </cols>
  <sheetData>
    <row r="1" spans="1:20" ht="15.75" thickBot="1">
      <c r="D1" s="71"/>
      <c r="H1" s="71"/>
      <c r="L1" s="71"/>
    </row>
    <row r="2" spans="1:20" ht="20.25" thickTop="1" thickBot="1">
      <c r="B2" s="322" t="s">
        <v>97</v>
      </c>
      <c r="C2" s="322"/>
      <c r="D2" s="322"/>
      <c r="E2" s="52">
        <f>B4-B5</f>
        <v>302.38999999999942</v>
      </c>
      <c r="F2" s="322" t="s">
        <v>98</v>
      </c>
      <c r="G2" s="322"/>
      <c r="H2" s="322"/>
      <c r="I2" s="206">
        <f>H4-H5</f>
        <v>1276.2399999999998</v>
      </c>
      <c r="J2" s="322" t="s">
        <v>99</v>
      </c>
      <c r="K2" s="322"/>
      <c r="L2" s="322"/>
      <c r="M2" s="52">
        <f>L4-L5</f>
        <v>74.849999999999966</v>
      </c>
      <c r="O2" s="53" t="s">
        <v>100</v>
      </c>
      <c r="P2" s="54"/>
    </row>
    <row r="3" spans="1:20" ht="18.75">
      <c r="A3" s="328">
        <f>SUM(B10:B64974)</f>
        <v>5754.1399999999994</v>
      </c>
      <c r="B3" s="328"/>
      <c r="C3" s="329">
        <f>SUM(C10:C6474)</f>
        <v>5451.75</v>
      </c>
      <c r="D3" s="330"/>
      <c r="E3" s="328">
        <f>SUM(F10:F64974)</f>
        <v>7065.21</v>
      </c>
      <c r="F3" s="328"/>
      <c r="G3" s="327">
        <f>SUM(G10:G64974)</f>
        <v>5788.97</v>
      </c>
      <c r="H3" s="328"/>
      <c r="I3" s="328">
        <f>SUM(J10:J64974)</f>
        <v>540.39</v>
      </c>
      <c r="J3" s="328"/>
      <c r="K3" s="327">
        <f>SUM(K10:K64974)</f>
        <v>465.54</v>
      </c>
      <c r="L3" s="328"/>
      <c r="M3" s="52"/>
      <c r="O3" s="59"/>
      <c r="P3" s="54"/>
    </row>
    <row r="4" spans="1:20" ht="18" thickBot="1">
      <c r="A4" s="113" t="s">
        <v>108</v>
      </c>
      <c r="B4" s="321">
        <f>A3</f>
        <v>5754.1399999999994</v>
      </c>
      <c r="C4" s="321"/>
      <c r="D4" s="71"/>
      <c r="F4" s="321" t="s">
        <v>109</v>
      </c>
      <c r="G4" s="321"/>
      <c r="H4" s="113">
        <f>E3</f>
        <v>7065.21</v>
      </c>
      <c r="J4" s="321" t="s">
        <v>110</v>
      </c>
      <c r="K4" s="321"/>
      <c r="L4" s="113">
        <f>I3</f>
        <v>540.39</v>
      </c>
      <c r="O4" s="55">
        <f>E2+I2+M2</f>
        <v>1653.4799999999991</v>
      </c>
      <c r="P4" s="56"/>
      <c r="Q4" s="54"/>
    </row>
    <row r="5" spans="1:20" ht="18" thickTop="1">
      <c r="A5" s="113" t="s">
        <v>111</v>
      </c>
      <c r="B5" s="321">
        <f>C3</f>
        <v>5451.75</v>
      </c>
      <c r="C5" s="321"/>
      <c r="D5" s="71"/>
      <c r="F5" s="321" t="s">
        <v>112</v>
      </c>
      <c r="G5" s="321"/>
      <c r="H5" s="113">
        <f>G3</f>
        <v>5788.97</v>
      </c>
      <c r="J5" s="321" t="s">
        <v>113</v>
      </c>
      <c r="K5" s="321"/>
      <c r="L5" s="113">
        <f>K3</f>
        <v>465.54</v>
      </c>
      <c r="O5" s="58"/>
      <c r="P5" s="56"/>
      <c r="Q5" s="54"/>
    </row>
    <row r="6" spans="1:20" ht="17.25">
      <c r="A6" s="113"/>
      <c r="B6" s="128"/>
      <c r="C6" s="128"/>
      <c r="D6" s="71"/>
      <c r="F6" s="128"/>
      <c r="G6" s="128"/>
      <c r="H6" s="113"/>
      <c r="J6" s="128"/>
      <c r="K6" s="128"/>
      <c r="L6" s="113"/>
      <c r="O6" s="58"/>
      <c r="P6" s="56"/>
      <c r="Q6" s="54"/>
    </row>
    <row r="7" spans="1:20" ht="17.25">
      <c r="D7" s="71"/>
      <c r="H7" s="71"/>
      <c r="L7" s="71"/>
      <c r="O7" s="58"/>
      <c r="P7" s="56"/>
      <c r="Q7" s="54"/>
    </row>
    <row r="8" spans="1:20" ht="15.75">
      <c r="A8" s="122"/>
      <c r="B8" s="323" t="s">
        <v>101</v>
      </c>
      <c r="C8" s="324"/>
      <c r="D8" s="324"/>
      <c r="E8" s="325"/>
      <c r="F8" s="326" t="s">
        <v>102</v>
      </c>
      <c r="G8" s="326"/>
      <c r="H8" s="326"/>
      <c r="I8" s="326"/>
      <c r="J8" s="323" t="s">
        <v>103</v>
      </c>
      <c r="K8" s="324"/>
      <c r="L8" s="324"/>
      <c r="M8" s="325"/>
      <c r="O8" s="320" t="s">
        <v>194</v>
      </c>
      <c r="P8" s="320"/>
      <c r="Q8" s="320"/>
    </row>
    <row r="9" spans="1:20" ht="16.5" thickBot="1">
      <c r="A9" s="114" t="s">
        <v>77</v>
      </c>
      <c r="B9" s="129" t="s">
        <v>104</v>
      </c>
      <c r="C9" s="132" t="s">
        <v>105</v>
      </c>
      <c r="D9" s="114" t="s">
        <v>106</v>
      </c>
      <c r="E9" s="123" t="s">
        <v>71</v>
      </c>
      <c r="F9" s="132" t="s">
        <v>104</v>
      </c>
      <c r="G9" s="132" t="s">
        <v>105</v>
      </c>
      <c r="H9" s="114" t="s">
        <v>106</v>
      </c>
      <c r="I9" s="115" t="s">
        <v>71</v>
      </c>
      <c r="J9" s="129" t="s">
        <v>104</v>
      </c>
      <c r="K9" s="132" t="s">
        <v>105</v>
      </c>
      <c r="L9" s="114" t="s">
        <v>106</v>
      </c>
      <c r="M9" s="123" t="s">
        <v>71</v>
      </c>
      <c r="N9" s="129" t="s">
        <v>104</v>
      </c>
      <c r="O9" s="132" t="s">
        <v>105</v>
      </c>
      <c r="P9" s="114" t="s">
        <v>106</v>
      </c>
      <c r="Q9" s="123" t="s">
        <v>71</v>
      </c>
    </row>
    <row r="10" spans="1:20">
      <c r="A10" s="71" t="s">
        <v>107</v>
      </c>
      <c r="B10" s="142">
        <v>900.93</v>
      </c>
      <c r="C10" s="134"/>
      <c r="D10" s="120"/>
      <c r="E10" s="124" t="s">
        <v>182</v>
      </c>
      <c r="F10" s="143">
        <v>120</v>
      </c>
      <c r="I10" s="135" t="s">
        <v>182</v>
      </c>
      <c r="J10" s="142">
        <v>235.81</v>
      </c>
      <c r="K10" s="134"/>
      <c r="L10" s="120"/>
      <c r="M10" s="135" t="s">
        <v>182</v>
      </c>
      <c r="N10" s="193"/>
    </row>
    <row r="11" spans="1:20">
      <c r="A11" s="111">
        <v>41646</v>
      </c>
      <c r="B11" s="130"/>
      <c r="C11" s="134"/>
      <c r="D11" s="121"/>
      <c r="E11" s="125"/>
      <c r="I11" s="116"/>
      <c r="J11" s="130"/>
      <c r="K11" s="134">
        <v>180</v>
      </c>
      <c r="L11" s="120" t="s">
        <v>342</v>
      </c>
      <c r="M11" s="125" t="s">
        <v>343</v>
      </c>
      <c r="N11" s="57"/>
      <c r="O11" s="57"/>
      <c r="P11" s="57"/>
      <c r="Q11" s="57"/>
      <c r="R11" s="57"/>
      <c r="S11" s="57"/>
      <c r="T11" s="57"/>
    </row>
    <row r="12" spans="1:20">
      <c r="A12" s="111">
        <v>41649</v>
      </c>
      <c r="B12" s="130">
        <v>63</v>
      </c>
      <c r="C12" s="134"/>
      <c r="D12" s="120" t="s">
        <v>348</v>
      </c>
      <c r="E12" s="125"/>
      <c r="I12" s="116"/>
      <c r="J12" s="130"/>
      <c r="K12" s="134"/>
      <c r="M12" s="125"/>
      <c r="N12" s="57"/>
      <c r="O12" s="57"/>
      <c r="P12" s="57"/>
      <c r="Q12" s="57"/>
      <c r="R12" s="57"/>
      <c r="S12" s="57"/>
      <c r="T12" s="57"/>
    </row>
    <row r="13" spans="1:20">
      <c r="A13" s="111">
        <v>41653</v>
      </c>
      <c r="B13" s="130"/>
      <c r="C13" s="134"/>
      <c r="D13" s="121"/>
      <c r="E13" s="125"/>
      <c r="G13" s="127">
        <v>100</v>
      </c>
      <c r="H13" s="118" t="s">
        <v>353</v>
      </c>
      <c r="I13" s="116"/>
      <c r="J13" s="130"/>
      <c r="K13" s="134"/>
      <c r="L13" s="120"/>
      <c r="M13" s="125"/>
      <c r="N13" s="57"/>
      <c r="O13" s="57"/>
      <c r="P13" s="57"/>
      <c r="Q13" s="57"/>
      <c r="R13" s="57"/>
      <c r="S13" s="57"/>
      <c r="T13" s="57"/>
    </row>
    <row r="14" spans="1:20">
      <c r="A14" s="111">
        <v>41653</v>
      </c>
      <c r="B14" s="130"/>
      <c r="C14" s="134"/>
      <c r="D14" s="120"/>
      <c r="E14" s="125"/>
      <c r="I14" s="116"/>
      <c r="J14" s="130">
        <v>100</v>
      </c>
      <c r="K14" s="134"/>
      <c r="L14" s="120" t="s">
        <v>353</v>
      </c>
      <c r="M14" s="125"/>
      <c r="N14" s="57"/>
      <c r="O14" s="57"/>
      <c r="P14" s="57"/>
      <c r="Q14" s="57"/>
      <c r="R14" s="57"/>
      <c r="S14" s="57"/>
      <c r="T14" s="57"/>
    </row>
    <row r="15" spans="1:20">
      <c r="A15" s="111">
        <v>41649</v>
      </c>
      <c r="B15" s="130">
        <v>14</v>
      </c>
      <c r="C15" s="134"/>
      <c r="D15" s="120" t="s">
        <v>359</v>
      </c>
      <c r="E15" s="125"/>
      <c r="I15" s="116"/>
      <c r="J15" s="130"/>
      <c r="K15" s="134"/>
      <c r="L15" s="120"/>
      <c r="M15" s="125"/>
      <c r="N15" s="57"/>
      <c r="O15" s="57"/>
      <c r="P15" s="57"/>
      <c r="Q15" s="57"/>
      <c r="R15" s="57"/>
      <c r="S15" s="57"/>
      <c r="T15" s="57"/>
    </row>
    <row r="16" spans="1:20">
      <c r="A16" s="111">
        <v>41649</v>
      </c>
      <c r="B16" s="130">
        <v>33.700000000000003</v>
      </c>
      <c r="C16" s="134"/>
      <c r="D16" s="120" t="s">
        <v>363</v>
      </c>
      <c r="E16" s="125"/>
      <c r="I16" s="116"/>
      <c r="J16" s="130"/>
      <c r="K16" s="134"/>
      <c r="L16" s="120"/>
      <c r="M16" s="125"/>
      <c r="N16" s="57"/>
      <c r="O16" s="57"/>
      <c r="P16" s="57"/>
      <c r="Q16" s="57"/>
      <c r="R16" s="57"/>
      <c r="S16" s="57"/>
      <c r="T16" s="57"/>
    </row>
    <row r="17" spans="1:21">
      <c r="A17" s="111">
        <v>41649</v>
      </c>
      <c r="B17" s="130">
        <v>56</v>
      </c>
      <c r="C17" s="134"/>
      <c r="D17" s="120" t="s">
        <v>367</v>
      </c>
      <c r="E17" s="125"/>
      <c r="I17" s="116"/>
      <c r="J17" s="130"/>
      <c r="K17" s="134"/>
      <c r="L17" s="120"/>
      <c r="M17" s="125"/>
      <c r="N17" s="57"/>
      <c r="O17" s="57"/>
      <c r="P17" s="57"/>
      <c r="Q17" s="57"/>
      <c r="R17" s="57"/>
      <c r="S17" s="57"/>
      <c r="T17" s="57"/>
    </row>
    <row r="18" spans="1:21">
      <c r="A18" s="111">
        <v>41649</v>
      </c>
      <c r="B18" s="130">
        <v>16.850000000000001</v>
      </c>
      <c r="C18" s="134"/>
      <c r="D18" s="120" t="s">
        <v>371</v>
      </c>
      <c r="E18" s="125"/>
      <c r="I18" s="116"/>
      <c r="J18" s="130"/>
      <c r="K18" s="134"/>
      <c r="L18" s="120"/>
      <c r="M18" s="125"/>
      <c r="N18" s="57"/>
      <c r="O18" s="57"/>
      <c r="P18" s="57"/>
      <c r="Q18" s="57"/>
      <c r="R18" s="57"/>
      <c r="S18" s="57"/>
      <c r="T18" s="57"/>
    </row>
    <row r="19" spans="1:21">
      <c r="A19" s="111">
        <v>41649</v>
      </c>
      <c r="B19" s="130">
        <v>63</v>
      </c>
      <c r="C19" s="134"/>
      <c r="D19" s="120" t="s">
        <v>373</v>
      </c>
      <c r="E19" s="125"/>
      <c r="I19" s="116"/>
      <c r="J19" s="130"/>
      <c r="K19" s="134"/>
      <c r="L19" s="120"/>
      <c r="M19" s="125"/>
      <c r="N19" s="57"/>
      <c r="O19" s="57"/>
      <c r="P19" s="57"/>
      <c r="Q19" s="57"/>
      <c r="R19" s="57"/>
      <c r="S19" s="57"/>
      <c r="T19" s="57"/>
    </row>
    <row r="20" spans="1:21">
      <c r="A20" s="111">
        <v>41649</v>
      </c>
      <c r="B20" s="130">
        <v>40.270000000000003</v>
      </c>
      <c r="C20" s="134"/>
      <c r="D20" s="120" t="s">
        <v>376</v>
      </c>
      <c r="E20" s="125"/>
      <c r="I20" s="116"/>
      <c r="J20" s="130"/>
      <c r="K20" s="134"/>
      <c r="L20" s="120"/>
      <c r="M20" s="125"/>
      <c r="N20" s="57"/>
      <c r="O20" s="57"/>
      <c r="P20" s="57"/>
      <c r="Q20" s="57"/>
      <c r="R20" s="57"/>
      <c r="S20" s="57"/>
      <c r="T20" s="57"/>
    </row>
    <row r="21" spans="1:21">
      <c r="A21" s="111">
        <v>41654</v>
      </c>
      <c r="B21" s="130"/>
      <c r="C21" s="134"/>
      <c r="D21" s="120"/>
      <c r="E21" s="125"/>
      <c r="G21" s="127">
        <v>43.32</v>
      </c>
      <c r="H21" s="118" t="s">
        <v>378</v>
      </c>
      <c r="I21" s="116" t="s">
        <v>379</v>
      </c>
      <c r="J21" s="130"/>
      <c r="K21" s="134"/>
      <c r="L21" s="120"/>
      <c r="M21" s="125"/>
      <c r="N21" s="57"/>
      <c r="O21" s="57"/>
      <c r="P21" s="57"/>
      <c r="Q21" s="57"/>
      <c r="R21" s="57"/>
      <c r="S21" s="57"/>
      <c r="T21" s="57"/>
    </row>
    <row r="22" spans="1:21">
      <c r="A22" s="111">
        <v>41654</v>
      </c>
      <c r="B22" s="130"/>
      <c r="C22" s="134"/>
      <c r="D22" s="120"/>
      <c r="E22" s="125"/>
      <c r="I22" s="116"/>
      <c r="J22" s="130"/>
      <c r="K22" s="134"/>
      <c r="L22" s="120"/>
      <c r="M22" s="125"/>
      <c r="N22" s="57"/>
      <c r="O22" s="57"/>
      <c r="P22" s="57"/>
      <c r="Q22" s="57"/>
      <c r="R22" s="57">
        <v>43.32</v>
      </c>
      <c r="S22" s="57"/>
      <c r="T22" s="57" t="s">
        <v>378</v>
      </c>
      <c r="U22" t="s">
        <v>379</v>
      </c>
    </row>
    <row r="23" spans="1:21">
      <c r="A23" s="111">
        <v>41660</v>
      </c>
      <c r="B23" s="130"/>
      <c r="C23" s="134"/>
      <c r="D23" s="120"/>
      <c r="E23" s="125"/>
      <c r="G23" s="127">
        <v>60</v>
      </c>
      <c r="H23" s="118" t="s">
        <v>382</v>
      </c>
      <c r="I23" s="116"/>
      <c r="J23" s="130"/>
      <c r="K23" s="134"/>
      <c r="L23" s="120"/>
      <c r="M23" s="125"/>
      <c r="N23" s="57"/>
      <c r="O23" s="57"/>
      <c r="P23" s="57"/>
      <c r="Q23" s="57"/>
      <c r="R23" s="57"/>
      <c r="S23" s="57"/>
      <c r="T23" s="57"/>
    </row>
    <row r="24" spans="1:21">
      <c r="A24" s="111">
        <v>41653</v>
      </c>
      <c r="B24" s="130"/>
      <c r="C24" s="134"/>
      <c r="D24" s="120"/>
      <c r="E24" s="125"/>
      <c r="F24" s="127">
        <v>1024.3499999999999</v>
      </c>
      <c r="H24" s="118" t="s">
        <v>384</v>
      </c>
      <c r="I24" s="116"/>
      <c r="J24" s="130"/>
      <c r="K24" s="134"/>
      <c r="L24" s="120"/>
      <c r="M24" s="125"/>
      <c r="N24" s="57"/>
      <c r="O24" s="57"/>
      <c r="P24" s="57"/>
      <c r="Q24" s="57"/>
      <c r="R24" s="57"/>
      <c r="S24" s="57"/>
      <c r="T24" s="57"/>
    </row>
    <row r="25" spans="1:21">
      <c r="A25" s="111">
        <v>41659</v>
      </c>
      <c r="B25" s="130"/>
      <c r="C25" s="134"/>
      <c r="D25" s="120"/>
      <c r="E25" s="125"/>
      <c r="G25" s="127">
        <v>1414.4</v>
      </c>
      <c r="H25" s="118" t="s">
        <v>381</v>
      </c>
      <c r="I25" s="116"/>
      <c r="J25" s="130"/>
      <c r="K25" s="134"/>
      <c r="L25" s="120"/>
      <c r="M25" s="125"/>
      <c r="N25" s="57"/>
      <c r="O25" s="57"/>
      <c r="P25" s="57"/>
      <c r="Q25" s="57"/>
      <c r="R25" s="57"/>
      <c r="S25" s="57"/>
      <c r="T25" s="57"/>
    </row>
    <row r="26" spans="1:21">
      <c r="A26" s="111">
        <v>41642</v>
      </c>
      <c r="B26" s="130"/>
      <c r="C26" s="134"/>
      <c r="D26" s="120"/>
      <c r="E26" s="125"/>
      <c r="F26" s="127">
        <v>2091.66</v>
      </c>
      <c r="H26" s="118" t="s">
        <v>345</v>
      </c>
      <c r="I26" s="116"/>
      <c r="J26" s="130"/>
      <c r="K26" s="134"/>
      <c r="L26" s="120"/>
      <c r="M26" s="125"/>
      <c r="N26" s="57"/>
      <c r="O26" s="57"/>
      <c r="P26" s="57"/>
      <c r="Q26" s="57"/>
      <c r="R26" s="57"/>
      <c r="S26" s="57"/>
      <c r="T26" s="57"/>
    </row>
    <row r="27" spans="1:21">
      <c r="A27" s="111">
        <v>41666</v>
      </c>
      <c r="B27" s="130">
        <v>27.99</v>
      </c>
      <c r="C27" s="134"/>
      <c r="D27" s="120" t="s">
        <v>398</v>
      </c>
      <c r="E27" s="125"/>
      <c r="I27" s="116"/>
      <c r="J27" s="130"/>
      <c r="K27" s="134"/>
      <c r="L27" s="120"/>
      <c r="M27" s="125"/>
      <c r="N27" s="57"/>
      <c r="O27" s="57"/>
      <c r="P27" s="57"/>
      <c r="Q27" s="57"/>
      <c r="R27" s="57"/>
      <c r="S27" s="57"/>
      <c r="T27" s="57"/>
    </row>
    <row r="28" spans="1:21">
      <c r="A28" s="111">
        <v>41669</v>
      </c>
      <c r="B28" s="130"/>
      <c r="C28" s="134"/>
      <c r="D28" s="120"/>
      <c r="E28" s="125"/>
      <c r="G28" s="127">
        <v>180</v>
      </c>
      <c r="H28" s="118" t="s">
        <v>401</v>
      </c>
      <c r="I28" s="116" t="s">
        <v>402</v>
      </c>
      <c r="J28" s="130"/>
      <c r="K28" s="134"/>
      <c r="L28" s="120"/>
      <c r="M28" s="125"/>
      <c r="N28" s="57"/>
      <c r="O28" s="57"/>
      <c r="P28" s="57"/>
      <c r="Q28" s="57"/>
      <c r="R28" s="57"/>
      <c r="S28" s="57"/>
      <c r="T28" s="57"/>
    </row>
    <row r="29" spans="1:21">
      <c r="A29" s="111">
        <v>41669</v>
      </c>
      <c r="B29" s="130"/>
      <c r="C29" s="134">
        <v>5.99</v>
      </c>
      <c r="D29" s="120" t="s">
        <v>405</v>
      </c>
      <c r="E29" s="125" t="s">
        <v>406</v>
      </c>
      <c r="I29" s="116"/>
      <c r="J29" s="130"/>
      <c r="K29" s="134"/>
      <c r="L29" s="120"/>
      <c r="M29" s="125"/>
      <c r="N29" s="57"/>
      <c r="O29" s="57"/>
      <c r="P29" s="57"/>
      <c r="Q29" s="57"/>
      <c r="R29" s="57"/>
      <c r="S29" s="57"/>
      <c r="T29" s="57"/>
    </row>
    <row r="30" spans="1:21">
      <c r="A30" s="111">
        <v>41669</v>
      </c>
      <c r="B30" s="130">
        <v>87</v>
      </c>
      <c r="C30" s="134"/>
      <c r="D30" s="120" t="s">
        <v>409</v>
      </c>
      <c r="E30" s="125"/>
      <c r="I30" s="116"/>
      <c r="J30" s="130"/>
      <c r="K30" s="134"/>
      <c r="L30" s="120"/>
      <c r="M30" s="125"/>
      <c r="N30" s="57"/>
      <c r="O30" s="57"/>
      <c r="P30" s="57"/>
      <c r="Q30" s="57"/>
      <c r="R30" s="57"/>
      <c r="S30" s="57"/>
      <c r="T30" s="57"/>
    </row>
    <row r="31" spans="1:21">
      <c r="A31" s="111">
        <v>41669</v>
      </c>
      <c r="B31" s="130">
        <v>35</v>
      </c>
      <c r="C31" s="134"/>
      <c r="D31" s="120" t="s">
        <v>412</v>
      </c>
      <c r="E31" s="125"/>
      <c r="I31" s="116"/>
      <c r="J31" s="130"/>
      <c r="K31" s="134"/>
      <c r="L31" s="120"/>
      <c r="M31" s="125"/>
      <c r="N31" s="57"/>
      <c r="O31" s="57"/>
      <c r="P31" s="57"/>
      <c r="Q31" s="57"/>
      <c r="R31" s="57"/>
      <c r="S31" s="57"/>
      <c r="T31" s="57"/>
    </row>
    <row r="32" spans="1:21">
      <c r="A32" s="111">
        <v>41669</v>
      </c>
      <c r="B32" s="130">
        <v>31.5</v>
      </c>
      <c r="C32" s="134"/>
      <c r="D32" s="120" t="s">
        <v>413</v>
      </c>
      <c r="E32" s="125"/>
      <c r="I32" s="116"/>
      <c r="J32" s="130"/>
      <c r="K32" s="134"/>
      <c r="L32" s="120"/>
      <c r="M32" s="125"/>
      <c r="N32" s="57"/>
      <c r="O32" s="57"/>
      <c r="P32" s="57"/>
      <c r="Q32" s="57"/>
      <c r="R32" s="57"/>
      <c r="S32" s="57"/>
      <c r="T32" s="57"/>
    </row>
    <row r="33" spans="1:21">
      <c r="A33" s="111">
        <v>41673</v>
      </c>
      <c r="B33" s="130"/>
      <c r="C33" s="134">
        <v>5.9</v>
      </c>
      <c r="D33" s="120" t="s">
        <v>447</v>
      </c>
      <c r="E33" s="125" t="s">
        <v>448</v>
      </c>
      <c r="I33" s="116"/>
      <c r="J33" s="130"/>
      <c r="K33" s="134"/>
      <c r="L33" s="120"/>
      <c r="M33" s="125"/>
      <c r="N33" s="57"/>
      <c r="O33" s="57"/>
      <c r="P33" s="57"/>
      <c r="Q33" s="57"/>
      <c r="R33" s="57"/>
      <c r="S33" s="57"/>
      <c r="T33" s="57"/>
    </row>
    <row r="34" spans="1:21">
      <c r="A34" s="111">
        <v>41673</v>
      </c>
      <c r="B34" s="130"/>
      <c r="C34" s="134"/>
      <c r="D34" s="120"/>
      <c r="E34" s="125"/>
      <c r="G34" s="127">
        <v>835.12</v>
      </c>
      <c r="H34" s="118" t="s">
        <v>454</v>
      </c>
      <c r="I34" s="116" t="s">
        <v>455</v>
      </c>
      <c r="J34" s="130"/>
      <c r="K34" s="134"/>
      <c r="L34" s="120"/>
      <c r="M34" s="125"/>
      <c r="N34" s="57"/>
      <c r="O34" s="57"/>
      <c r="P34" s="57"/>
      <c r="Q34" s="57"/>
      <c r="R34" s="57"/>
      <c r="S34" s="57"/>
      <c r="T34" s="57"/>
    </row>
    <row r="35" spans="1:21">
      <c r="A35" s="111">
        <v>41675</v>
      </c>
      <c r="B35" s="130">
        <v>78.5</v>
      </c>
      <c r="C35" s="134"/>
      <c r="D35" s="120" t="s">
        <v>460</v>
      </c>
      <c r="E35" s="125" t="s">
        <v>460</v>
      </c>
      <c r="I35" s="116"/>
      <c r="J35" s="130"/>
      <c r="K35" s="134"/>
      <c r="L35" s="120"/>
      <c r="M35" s="125"/>
      <c r="N35" s="57"/>
      <c r="O35" s="57"/>
      <c r="P35" s="57"/>
      <c r="Q35" s="57"/>
      <c r="R35" s="57"/>
      <c r="S35" s="57"/>
      <c r="T35" s="57"/>
    </row>
    <row r="36" spans="1:21">
      <c r="A36" s="111">
        <v>41676</v>
      </c>
      <c r="B36" s="130"/>
      <c r="C36" s="134"/>
      <c r="D36" s="120"/>
      <c r="E36" s="125"/>
      <c r="G36" s="127">
        <v>0.6</v>
      </c>
      <c r="H36" s="118" t="s">
        <v>105</v>
      </c>
      <c r="I36" s="116" t="s">
        <v>461</v>
      </c>
      <c r="J36" s="130"/>
      <c r="K36" s="134"/>
      <c r="L36" s="120"/>
      <c r="M36" s="125"/>
      <c r="N36" s="57"/>
      <c r="O36" s="57"/>
      <c r="P36" s="57"/>
      <c r="Q36" s="57"/>
      <c r="R36" s="57"/>
      <c r="S36" s="57"/>
      <c r="T36" s="57"/>
    </row>
    <row r="37" spans="1:21">
      <c r="A37" s="111">
        <v>41673</v>
      </c>
      <c r="B37" s="130"/>
      <c r="C37" s="134"/>
      <c r="D37" s="120"/>
      <c r="E37" s="125"/>
      <c r="G37" s="127">
        <v>144.80000000000001</v>
      </c>
      <c r="H37" s="118" t="s">
        <v>463</v>
      </c>
      <c r="I37" s="116" t="s">
        <v>464</v>
      </c>
      <c r="J37" s="130"/>
      <c r="K37" s="134"/>
      <c r="L37" s="120"/>
      <c r="M37" s="125"/>
      <c r="N37" s="57"/>
      <c r="O37" s="57"/>
      <c r="P37" s="57"/>
      <c r="Q37" s="57"/>
      <c r="R37" s="57"/>
      <c r="S37" s="57"/>
      <c r="T37" s="57"/>
    </row>
    <row r="38" spans="1:21">
      <c r="A38" s="111">
        <v>41681</v>
      </c>
      <c r="B38" s="130">
        <v>16</v>
      </c>
      <c r="C38" s="134"/>
      <c r="D38" s="120" t="s">
        <v>467</v>
      </c>
      <c r="E38" s="125"/>
      <c r="I38" s="116"/>
      <c r="J38" s="130"/>
      <c r="K38" s="134"/>
      <c r="L38" s="120"/>
      <c r="M38" s="125"/>
      <c r="N38" s="57"/>
      <c r="O38" s="57"/>
      <c r="P38" s="57"/>
      <c r="Q38" s="57"/>
      <c r="R38" s="57"/>
      <c r="S38" s="57"/>
      <c r="T38" s="57"/>
    </row>
    <row r="39" spans="1:21">
      <c r="A39" s="111">
        <v>41682</v>
      </c>
      <c r="B39" s="130">
        <v>13.42</v>
      </c>
      <c r="C39" s="134"/>
      <c r="D39" s="120" t="s">
        <v>469</v>
      </c>
      <c r="E39" s="124"/>
      <c r="J39" s="130"/>
      <c r="K39" s="134"/>
      <c r="L39" s="120"/>
      <c r="M39" s="124"/>
    </row>
    <row r="40" spans="1:21">
      <c r="A40" s="111">
        <v>41682</v>
      </c>
      <c r="B40" s="130">
        <v>63</v>
      </c>
      <c r="C40" s="134"/>
      <c r="D40" s="120" t="s">
        <v>471</v>
      </c>
      <c r="E40" s="124"/>
      <c r="J40" s="130"/>
      <c r="K40" s="134"/>
      <c r="L40" s="120"/>
      <c r="M40" s="124"/>
    </row>
    <row r="41" spans="1:21">
      <c r="A41" s="111">
        <v>41684</v>
      </c>
      <c r="B41" s="130">
        <v>120.5</v>
      </c>
      <c r="C41" s="134"/>
      <c r="D41" s="120" t="s">
        <v>478</v>
      </c>
      <c r="E41" s="124"/>
      <c r="J41" s="130"/>
      <c r="K41" s="134"/>
      <c r="L41" s="120"/>
      <c r="M41" s="124"/>
    </row>
    <row r="42" spans="1:21">
      <c r="A42" s="111">
        <v>41688</v>
      </c>
      <c r="B42" s="130">
        <v>47.12</v>
      </c>
      <c r="C42" s="134"/>
      <c r="D42" s="120" t="s">
        <v>488</v>
      </c>
      <c r="E42" s="124"/>
      <c r="J42" s="130"/>
      <c r="K42" s="134"/>
      <c r="L42" s="120"/>
      <c r="M42" s="124"/>
    </row>
    <row r="43" spans="1:21">
      <c r="A43" s="111">
        <v>41688</v>
      </c>
      <c r="B43" s="130">
        <v>47.12</v>
      </c>
      <c r="C43" s="134"/>
      <c r="D43" s="120" t="s">
        <v>499</v>
      </c>
      <c r="E43" s="124" t="s">
        <v>501</v>
      </c>
      <c r="J43" s="130"/>
      <c r="K43" s="134"/>
      <c r="L43" s="120"/>
      <c r="M43" s="124"/>
    </row>
    <row r="44" spans="1:21">
      <c r="A44" s="111">
        <v>41687</v>
      </c>
      <c r="B44" s="130"/>
      <c r="C44" s="134"/>
      <c r="D44" s="120"/>
      <c r="E44" s="124"/>
      <c r="J44" s="130"/>
      <c r="K44" s="134">
        <v>56.32</v>
      </c>
      <c r="L44" s="120" t="s">
        <v>506</v>
      </c>
      <c r="M44" s="124" t="s">
        <v>504</v>
      </c>
    </row>
    <row r="45" spans="1:21">
      <c r="A45" s="111">
        <v>41673</v>
      </c>
      <c r="B45" s="130"/>
      <c r="C45" s="134"/>
      <c r="D45" s="120"/>
      <c r="E45" s="124"/>
      <c r="J45" s="130">
        <v>204.58</v>
      </c>
      <c r="K45" s="134"/>
      <c r="L45" s="120" t="s">
        <v>457</v>
      </c>
      <c r="M45" s="124" t="s">
        <v>507</v>
      </c>
    </row>
    <row r="46" spans="1:21">
      <c r="A46" s="111">
        <v>41689</v>
      </c>
      <c r="B46" s="130"/>
      <c r="C46" s="134"/>
      <c r="D46" s="120"/>
      <c r="E46" s="124"/>
      <c r="J46" s="130"/>
      <c r="K46" s="134">
        <v>4.24</v>
      </c>
      <c r="L46" s="120" t="s">
        <v>105</v>
      </c>
      <c r="M46" s="124" t="s">
        <v>509</v>
      </c>
    </row>
    <row r="47" spans="1:21">
      <c r="A47" s="111">
        <v>41692</v>
      </c>
      <c r="B47" s="130"/>
      <c r="C47" s="134"/>
      <c r="D47" s="120"/>
      <c r="E47" s="124"/>
      <c r="G47" s="127">
        <v>278.06</v>
      </c>
      <c r="H47" s="118" t="s">
        <v>378</v>
      </c>
      <c r="I47" s="135" t="s">
        <v>510</v>
      </c>
      <c r="J47" s="130"/>
      <c r="K47" s="134"/>
      <c r="L47" s="120"/>
      <c r="M47" s="124"/>
    </row>
    <row r="48" spans="1:21">
      <c r="A48" s="111">
        <v>41692</v>
      </c>
      <c r="B48" s="130"/>
      <c r="C48" s="134"/>
      <c r="D48" s="120"/>
      <c r="E48" s="124"/>
      <c r="J48" s="130"/>
      <c r="K48" s="134"/>
      <c r="L48" s="120"/>
      <c r="M48" s="124"/>
      <c r="R48">
        <v>278.06</v>
      </c>
      <c r="T48" t="s">
        <v>378</v>
      </c>
      <c r="U48" t="s">
        <v>510</v>
      </c>
    </row>
    <row r="49" spans="1:17">
      <c r="A49" s="111">
        <v>41689</v>
      </c>
      <c r="B49" s="130">
        <v>76</v>
      </c>
      <c r="C49" s="134"/>
      <c r="D49" s="120" t="s">
        <v>513</v>
      </c>
      <c r="E49" s="124"/>
      <c r="J49" s="130"/>
      <c r="K49" s="134"/>
      <c r="L49" s="120"/>
      <c r="M49" s="124"/>
    </row>
    <row r="50" spans="1:17">
      <c r="A50" s="111">
        <v>41689</v>
      </c>
      <c r="B50" s="130">
        <v>50.55</v>
      </c>
      <c r="C50" s="134"/>
      <c r="D50" s="120" t="s">
        <v>517</v>
      </c>
      <c r="E50" s="124"/>
      <c r="J50" s="130"/>
      <c r="K50" s="134"/>
      <c r="L50" s="120"/>
      <c r="M50" s="124"/>
    </row>
    <row r="51" spans="1:17">
      <c r="A51" s="111">
        <v>41691</v>
      </c>
      <c r="B51" s="130">
        <v>12.14</v>
      </c>
      <c r="C51" s="134"/>
      <c r="D51" s="120" t="s">
        <v>520</v>
      </c>
      <c r="E51" s="124"/>
      <c r="I51" s="135"/>
      <c r="J51" s="130"/>
      <c r="K51" s="134"/>
      <c r="L51" s="120"/>
      <c r="M51" s="124"/>
    </row>
    <row r="52" spans="1:17">
      <c r="A52" s="111">
        <v>41695</v>
      </c>
      <c r="B52" s="130">
        <v>72.8</v>
      </c>
      <c r="C52" s="134"/>
      <c r="D52" s="120" t="s">
        <v>523</v>
      </c>
      <c r="E52" s="124"/>
      <c r="J52" s="130"/>
      <c r="K52" s="134"/>
      <c r="L52" s="120"/>
      <c r="M52" s="124"/>
    </row>
    <row r="53" spans="1:17">
      <c r="A53" s="111">
        <v>41697</v>
      </c>
      <c r="B53" s="130"/>
      <c r="C53" s="134">
        <v>585</v>
      </c>
      <c r="D53" s="120" t="s">
        <v>526</v>
      </c>
      <c r="E53" s="124" t="s">
        <v>527</v>
      </c>
      <c r="J53" s="130"/>
      <c r="K53" s="134"/>
      <c r="L53" s="120"/>
      <c r="M53" s="124"/>
    </row>
    <row r="54" spans="1:17">
      <c r="A54" s="111">
        <v>41697</v>
      </c>
      <c r="B54" s="130"/>
      <c r="C54" s="134"/>
      <c r="D54" s="120"/>
      <c r="E54" s="124"/>
      <c r="F54" s="127">
        <v>585</v>
      </c>
      <c r="H54" s="118" t="s">
        <v>526</v>
      </c>
      <c r="I54" s="135" t="s">
        <v>527</v>
      </c>
      <c r="J54" s="130"/>
      <c r="K54" s="134"/>
      <c r="L54" s="120"/>
      <c r="M54" s="124"/>
    </row>
    <row r="55" spans="1:17">
      <c r="A55" s="111">
        <v>41696</v>
      </c>
      <c r="B55" s="130"/>
      <c r="C55" s="134"/>
      <c r="D55" s="120"/>
      <c r="E55" s="124"/>
      <c r="G55" s="127">
        <v>188.89</v>
      </c>
      <c r="H55" s="118" t="s">
        <v>528</v>
      </c>
      <c r="I55" s="135" t="s">
        <v>529</v>
      </c>
      <c r="J55" s="130"/>
      <c r="K55" s="134"/>
      <c r="L55" s="120"/>
      <c r="M55" s="124"/>
    </row>
    <row r="56" spans="1:17">
      <c r="A56" s="111">
        <v>41689</v>
      </c>
      <c r="B56" s="130"/>
      <c r="C56" s="134"/>
      <c r="D56" s="120"/>
      <c r="E56" s="124"/>
      <c r="J56" s="130"/>
      <c r="K56" s="134">
        <v>60</v>
      </c>
      <c r="L56" s="120" t="s">
        <v>530</v>
      </c>
      <c r="M56" s="124" t="s">
        <v>531</v>
      </c>
    </row>
    <row r="57" spans="1:17">
      <c r="A57" s="111">
        <v>41694</v>
      </c>
      <c r="B57" s="130"/>
      <c r="C57" s="134">
        <v>5.81</v>
      </c>
      <c r="D57" s="120" t="s">
        <v>533</v>
      </c>
      <c r="E57" s="124" t="s">
        <v>534</v>
      </c>
      <c r="J57" s="130"/>
      <c r="K57" s="134"/>
      <c r="L57" s="120"/>
      <c r="M57" s="124"/>
    </row>
    <row r="58" spans="1:17">
      <c r="A58" s="111">
        <v>41701</v>
      </c>
      <c r="B58" s="130"/>
      <c r="C58" s="134"/>
      <c r="D58" s="120"/>
      <c r="E58" s="124"/>
      <c r="G58" s="127">
        <v>2.9</v>
      </c>
      <c r="H58" s="118" t="s">
        <v>105</v>
      </c>
      <c r="I58" s="135" t="s">
        <v>536</v>
      </c>
      <c r="J58" s="130"/>
      <c r="K58" s="134"/>
      <c r="L58" s="120"/>
      <c r="M58" s="124"/>
    </row>
    <row r="59" spans="1:17">
      <c r="A59" s="111">
        <v>41705</v>
      </c>
      <c r="B59" s="130">
        <v>65</v>
      </c>
      <c r="C59" s="134"/>
      <c r="D59" s="120" t="s">
        <v>538</v>
      </c>
      <c r="E59" s="124"/>
      <c r="J59" s="130"/>
      <c r="K59" s="134"/>
      <c r="L59" s="120"/>
      <c r="M59" s="124"/>
    </row>
    <row r="60" spans="1:17">
      <c r="A60" s="111">
        <v>41708</v>
      </c>
      <c r="B60" s="130"/>
      <c r="C60" s="134"/>
      <c r="D60" s="120"/>
      <c r="E60" s="124"/>
      <c r="J60" s="130"/>
      <c r="K60" s="134"/>
      <c r="L60" s="120"/>
      <c r="M60" s="124"/>
      <c r="O60">
        <v>79.19</v>
      </c>
      <c r="P60" t="s">
        <v>540</v>
      </c>
      <c r="Q60" t="s">
        <v>541</v>
      </c>
    </row>
    <row r="61" spans="1:17">
      <c r="A61" s="111">
        <v>41708</v>
      </c>
      <c r="B61" s="130"/>
      <c r="C61" s="134"/>
      <c r="D61" s="120"/>
      <c r="E61" s="124"/>
      <c r="F61" s="127">
        <v>79.19</v>
      </c>
      <c r="H61" s="118" t="s">
        <v>540</v>
      </c>
      <c r="I61" s="135" t="s">
        <v>541</v>
      </c>
      <c r="J61" s="130"/>
      <c r="K61" s="134"/>
      <c r="L61" s="120"/>
      <c r="M61" s="124"/>
    </row>
    <row r="62" spans="1:17">
      <c r="A62" s="111">
        <v>41709</v>
      </c>
      <c r="B62" s="130">
        <v>34.300000000000004</v>
      </c>
      <c r="C62" s="134"/>
      <c r="D62" s="120" t="s">
        <v>544</v>
      </c>
      <c r="E62" s="124"/>
      <c r="J62" s="130"/>
      <c r="K62" s="134"/>
      <c r="L62" s="120"/>
      <c r="M62" s="124"/>
    </row>
    <row r="63" spans="1:17">
      <c r="A63" s="111">
        <v>41709</v>
      </c>
      <c r="B63" s="130">
        <v>63</v>
      </c>
      <c r="C63" s="134"/>
      <c r="D63" s="120" t="s">
        <v>548</v>
      </c>
      <c r="E63" s="124"/>
      <c r="J63" s="130"/>
      <c r="K63" s="134"/>
      <c r="L63" s="120"/>
      <c r="M63" s="124"/>
    </row>
    <row r="64" spans="1:17">
      <c r="A64" s="111">
        <v>41711</v>
      </c>
      <c r="B64" s="130">
        <v>16.850000000000001</v>
      </c>
      <c r="C64" s="134"/>
      <c r="D64" s="120" t="s">
        <v>568</v>
      </c>
      <c r="E64" s="124"/>
      <c r="J64" s="130"/>
      <c r="K64" s="134"/>
      <c r="L64" s="120"/>
      <c r="M64" s="124"/>
    </row>
    <row r="65" spans="1:17">
      <c r="A65" s="111">
        <v>41716</v>
      </c>
      <c r="B65" s="130">
        <v>8.5</v>
      </c>
      <c r="C65" s="134"/>
      <c r="D65" s="120" t="s">
        <v>571</v>
      </c>
      <c r="E65" s="124"/>
      <c r="J65" s="130"/>
      <c r="K65" s="134"/>
      <c r="L65" s="120"/>
      <c r="M65" s="124"/>
    </row>
    <row r="66" spans="1:17">
      <c r="A66" s="111">
        <v>41716</v>
      </c>
      <c r="B66" s="130">
        <v>31.42</v>
      </c>
      <c r="C66" s="134"/>
      <c r="D66" s="120" t="s">
        <v>575</v>
      </c>
      <c r="E66" s="124"/>
      <c r="J66" s="130"/>
      <c r="K66" s="134"/>
      <c r="L66" s="120"/>
      <c r="M66" s="124"/>
    </row>
    <row r="67" spans="1:17">
      <c r="A67" s="111">
        <v>41716</v>
      </c>
      <c r="B67" s="130">
        <v>63</v>
      </c>
      <c r="C67" s="134"/>
      <c r="D67" s="120" t="s">
        <v>577</v>
      </c>
      <c r="E67" s="124"/>
      <c r="J67" s="130"/>
      <c r="K67" s="134"/>
      <c r="L67" s="120"/>
      <c r="M67" s="124"/>
    </row>
    <row r="68" spans="1:17">
      <c r="A68" s="111">
        <v>41721</v>
      </c>
      <c r="B68" s="130"/>
      <c r="C68" s="134"/>
      <c r="D68" s="120"/>
      <c r="E68" s="124"/>
      <c r="J68" s="130"/>
      <c r="K68" s="134"/>
      <c r="L68" s="120"/>
      <c r="M68" s="124"/>
      <c r="O68">
        <v>0.01</v>
      </c>
      <c r="P68" t="s">
        <v>540</v>
      </c>
      <c r="Q68" t="s">
        <v>578</v>
      </c>
    </row>
    <row r="69" spans="1:17">
      <c r="A69" s="111">
        <v>41721</v>
      </c>
      <c r="B69" s="130"/>
      <c r="C69" s="134"/>
      <c r="D69" s="120"/>
      <c r="E69" s="124"/>
      <c r="F69" s="127">
        <v>0.01</v>
      </c>
      <c r="H69" s="118" t="s">
        <v>540</v>
      </c>
      <c r="I69" s="135" t="s">
        <v>578</v>
      </c>
      <c r="J69" s="130"/>
      <c r="K69" s="134"/>
      <c r="L69" s="120"/>
      <c r="M69" s="124"/>
    </row>
    <row r="70" spans="1:17">
      <c r="A70" s="111">
        <v>41724</v>
      </c>
      <c r="B70" s="130">
        <v>16</v>
      </c>
      <c r="C70" s="134"/>
      <c r="D70" s="120" t="s">
        <v>580</v>
      </c>
      <c r="E70" s="124"/>
      <c r="J70" s="130"/>
      <c r="K70" s="134"/>
      <c r="L70" s="120"/>
      <c r="M70" s="124"/>
    </row>
    <row r="71" spans="1:17">
      <c r="A71" s="111">
        <v>41726</v>
      </c>
      <c r="B71" s="130">
        <v>34</v>
      </c>
      <c r="C71" s="134"/>
      <c r="D71" s="120" t="s">
        <v>592</v>
      </c>
      <c r="E71" s="124"/>
      <c r="J71" s="130"/>
      <c r="K71" s="134"/>
      <c r="L71" s="120"/>
      <c r="M71" s="124"/>
    </row>
    <row r="72" spans="1:17">
      <c r="A72" s="111">
        <v>41729</v>
      </c>
      <c r="B72" s="130">
        <v>18.599999999999998</v>
      </c>
      <c r="C72" s="134"/>
      <c r="D72" s="120" t="s">
        <v>601</v>
      </c>
      <c r="E72" s="124"/>
      <c r="J72" s="130"/>
      <c r="K72" s="134"/>
      <c r="L72" s="120"/>
      <c r="M72" s="124"/>
    </row>
    <row r="73" spans="1:17">
      <c r="A73" s="111">
        <v>41729</v>
      </c>
      <c r="B73" s="130">
        <v>37</v>
      </c>
      <c r="C73" s="134"/>
      <c r="D73" s="120" t="s">
        <v>607</v>
      </c>
      <c r="E73" s="124"/>
      <c r="J73" s="130"/>
      <c r="K73" s="134"/>
      <c r="L73" s="120"/>
      <c r="M73" s="124"/>
    </row>
    <row r="74" spans="1:17">
      <c r="A74" s="111">
        <v>41729</v>
      </c>
      <c r="B74" s="130">
        <v>19</v>
      </c>
      <c r="C74" s="134"/>
      <c r="D74" s="120" t="s">
        <v>617</v>
      </c>
      <c r="E74" s="124"/>
      <c r="J74" s="130"/>
      <c r="K74" s="134"/>
      <c r="L74" s="120"/>
      <c r="M74" s="124"/>
    </row>
    <row r="75" spans="1:17">
      <c r="A75" s="111">
        <v>41729</v>
      </c>
      <c r="B75" s="130">
        <v>15.700000000000001</v>
      </c>
      <c r="C75" s="134"/>
      <c r="D75" s="120" t="s">
        <v>626</v>
      </c>
      <c r="E75" s="124"/>
      <c r="J75" s="130"/>
      <c r="K75" s="134"/>
      <c r="L75" s="120"/>
      <c r="M75" s="124"/>
    </row>
    <row r="76" spans="1:17" ht="15.75" thickBot="1">
      <c r="A76" s="224">
        <v>41729</v>
      </c>
      <c r="B76" s="131">
        <v>18.97</v>
      </c>
      <c r="C76" s="133"/>
      <c r="D76" s="119" t="s">
        <v>636</v>
      </c>
      <c r="E76" s="126"/>
      <c r="F76" s="133"/>
      <c r="G76" s="133"/>
      <c r="H76" s="119"/>
      <c r="I76" s="117"/>
      <c r="J76" s="131"/>
      <c r="K76" s="133"/>
      <c r="L76" s="119"/>
      <c r="M76" s="126"/>
    </row>
    <row r="77" spans="1:17">
      <c r="A77" s="111">
        <v>41729</v>
      </c>
      <c r="B77" s="127">
        <v>17</v>
      </c>
      <c r="D77" s="118" t="s">
        <v>641</v>
      </c>
    </row>
    <row r="78" spans="1:17">
      <c r="A78" s="111">
        <v>41730</v>
      </c>
      <c r="G78" s="127">
        <v>2.9</v>
      </c>
      <c r="H78" s="118" t="s">
        <v>105</v>
      </c>
      <c r="I78" s="135" t="s">
        <v>508</v>
      </c>
    </row>
    <row r="79" spans="1:17">
      <c r="A79" s="111">
        <v>41731</v>
      </c>
      <c r="B79" s="127">
        <v>32</v>
      </c>
      <c r="D79" s="118" t="s">
        <v>647</v>
      </c>
    </row>
    <row r="80" spans="1:17">
      <c r="A80" s="111">
        <v>41753</v>
      </c>
      <c r="C80" s="127">
        <v>400</v>
      </c>
      <c r="D80" s="118" t="s">
        <v>526</v>
      </c>
      <c r="E80" s="71" t="s">
        <v>527</v>
      </c>
    </row>
    <row r="81" spans="1:21">
      <c r="A81" s="111">
        <v>41753</v>
      </c>
      <c r="F81" s="127">
        <v>400</v>
      </c>
      <c r="H81" s="118" t="s">
        <v>526</v>
      </c>
      <c r="I81" s="135" t="s">
        <v>527</v>
      </c>
    </row>
    <row r="82" spans="1:21">
      <c r="A82" s="111">
        <v>41753</v>
      </c>
      <c r="G82" s="127">
        <v>72.39</v>
      </c>
      <c r="H82" s="118" t="s">
        <v>378</v>
      </c>
      <c r="I82" s="135" t="s">
        <v>649</v>
      </c>
    </row>
    <row r="83" spans="1:21">
      <c r="A83" s="111">
        <v>41753</v>
      </c>
      <c r="R83">
        <v>72.39</v>
      </c>
      <c r="T83" t="s">
        <v>378</v>
      </c>
      <c r="U83" t="s">
        <v>649</v>
      </c>
    </row>
    <row r="84" spans="1:21">
      <c r="A84" s="111">
        <v>41752</v>
      </c>
      <c r="G84" s="127">
        <v>69.849999999999994</v>
      </c>
      <c r="H84" s="118" t="s">
        <v>651</v>
      </c>
      <c r="I84" s="135" t="s">
        <v>650</v>
      </c>
    </row>
    <row r="85" spans="1:21">
      <c r="A85" s="111">
        <v>41753</v>
      </c>
      <c r="B85" s="127">
        <v>83.600000000000009</v>
      </c>
      <c r="D85" s="118" t="s">
        <v>654</v>
      </c>
    </row>
    <row r="86" spans="1:21">
      <c r="A86" s="111">
        <v>41753</v>
      </c>
      <c r="C86" s="127">
        <v>3.25</v>
      </c>
      <c r="D86" s="118" t="s">
        <v>105</v>
      </c>
      <c r="E86" s="71" t="s">
        <v>656</v>
      </c>
    </row>
    <row r="87" spans="1:21">
      <c r="A87" s="111">
        <v>41754</v>
      </c>
      <c r="B87" s="127">
        <v>17.14</v>
      </c>
      <c r="D87" s="118" t="s">
        <v>662</v>
      </c>
    </row>
    <row r="88" spans="1:21">
      <c r="A88" s="111">
        <v>41754</v>
      </c>
      <c r="B88" s="127">
        <v>15.71</v>
      </c>
      <c r="D88" s="118" t="s">
        <v>665</v>
      </c>
    </row>
    <row r="89" spans="1:21">
      <c r="A89" s="111">
        <v>41768</v>
      </c>
      <c r="G89" s="127">
        <v>2.9</v>
      </c>
      <c r="H89" s="118" t="s">
        <v>105</v>
      </c>
      <c r="I89" s="135" t="s">
        <v>508</v>
      </c>
    </row>
    <row r="90" spans="1:21">
      <c r="A90" s="111">
        <v>41775</v>
      </c>
      <c r="G90" s="127">
        <v>12.41</v>
      </c>
      <c r="H90" s="118" t="s">
        <v>378</v>
      </c>
      <c r="I90" s="135" t="s">
        <v>667</v>
      </c>
    </row>
    <row r="91" spans="1:21">
      <c r="A91" s="111">
        <v>41775</v>
      </c>
      <c r="R91">
        <v>12.41</v>
      </c>
      <c r="T91" t="s">
        <v>378</v>
      </c>
      <c r="U91" t="s">
        <v>667</v>
      </c>
    </row>
    <row r="92" spans="1:21">
      <c r="A92" s="111">
        <v>41792</v>
      </c>
      <c r="K92" s="127">
        <v>150</v>
      </c>
      <c r="L92" s="118" t="s">
        <v>668</v>
      </c>
      <c r="M92" s="71" t="s">
        <v>669</v>
      </c>
    </row>
    <row r="93" spans="1:21">
      <c r="A93" s="111">
        <v>41792</v>
      </c>
      <c r="F93" s="127">
        <v>150</v>
      </c>
      <c r="H93" s="118" t="s">
        <v>668</v>
      </c>
      <c r="I93" s="135" t="s">
        <v>669</v>
      </c>
    </row>
    <row r="94" spans="1:21">
      <c r="A94" s="111">
        <v>41800</v>
      </c>
      <c r="B94" s="127">
        <v>15.71</v>
      </c>
      <c r="D94" s="118" t="s">
        <v>671</v>
      </c>
    </row>
    <row r="95" spans="1:21">
      <c r="A95" s="111">
        <v>41803</v>
      </c>
      <c r="B95" s="127">
        <v>193.97</v>
      </c>
      <c r="D95" s="118" t="s">
        <v>674</v>
      </c>
    </row>
    <row r="96" spans="1:21">
      <c r="A96" s="111">
        <v>41804</v>
      </c>
      <c r="B96" s="127">
        <v>20.23</v>
      </c>
      <c r="D96" s="118" t="s">
        <v>679</v>
      </c>
    </row>
    <row r="97" spans="1:9">
      <c r="A97" s="111">
        <v>41792</v>
      </c>
      <c r="G97" s="127">
        <v>2.9</v>
      </c>
      <c r="H97" s="118" t="s">
        <v>105</v>
      </c>
      <c r="I97" s="135" t="s">
        <v>508</v>
      </c>
    </row>
    <row r="98" spans="1:9">
      <c r="A98" s="111">
        <v>41816</v>
      </c>
      <c r="G98" s="127">
        <v>560</v>
      </c>
      <c r="H98" s="244" t="s">
        <v>692</v>
      </c>
      <c r="I98" s="135" t="s">
        <v>693</v>
      </c>
    </row>
    <row r="99" spans="1:9">
      <c r="A99" s="111">
        <v>41803</v>
      </c>
      <c r="B99" s="127">
        <v>88.68</v>
      </c>
      <c r="D99" s="245" t="s">
        <v>677</v>
      </c>
    </row>
    <row r="100" spans="1:9">
      <c r="A100" s="111">
        <v>41815</v>
      </c>
      <c r="B100" s="127">
        <v>130</v>
      </c>
      <c r="D100" s="246" t="s">
        <v>694</v>
      </c>
    </row>
    <row r="101" spans="1:9">
      <c r="A101" s="111">
        <v>41815</v>
      </c>
      <c r="B101" s="127">
        <v>67.5</v>
      </c>
      <c r="D101" s="246" t="s">
        <v>696</v>
      </c>
    </row>
    <row r="102" spans="1:9">
      <c r="A102" s="111">
        <v>41815</v>
      </c>
      <c r="B102" s="127">
        <v>56</v>
      </c>
      <c r="D102" s="246" t="s">
        <v>698</v>
      </c>
    </row>
    <row r="103" spans="1:9">
      <c r="A103" s="111">
        <v>41815</v>
      </c>
      <c r="B103" s="127">
        <v>84.25</v>
      </c>
      <c r="D103" s="246" t="s">
        <v>700</v>
      </c>
    </row>
    <row r="104" spans="1:9">
      <c r="A104" s="111">
        <v>41815</v>
      </c>
      <c r="B104" s="127">
        <v>67.400000000000006</v>
      </c>
      <c r="D104" s="246" t="s">
        <v>703</v>
      </c>
    </row>
    <row r="105" spans="1:9">
      <c r="A105" s="111">
        <v>41815</v>
      </c>
      <c r="B105" s="127">
        <v>112</v>
      </c>
      <c r="D105" s="246" t="s">
        <v>705</v>
      </c>
    </row>
    <row r="106" spans="1:9">
      <c r="A106" s="111">
        <v>41815</v>
      </c>
      <c r="B106" s="127">
        <v>28</v>
      </c>
      <c r="D106" s="246" t="s">
        <v>708</v>
      </c>
    </row>
    <row r="107" spans="1:9">
      <c r="A107" s="111">
        <v>41816</v>
      </c>
      <c r="B107" s="127">
        <v>125.66</v>
      </c>
      <c r="D107" s="246" t="s">
        <v>712</v>
      </c>
    </row>
    <row r="108" spans="1:9">
      <c r="A108" s="111">
        <v>41816</v>
      </c>
      <c r="B108" s="127">
        <v>125</v>
      </c>
      <c r="D108" s="246" t="s">
        <v>714</v>
      </c>
    </row>
    <row r="109" spans="1:9">
      <c r="A109" s="111">
        <v>41820</v>
      </c>
      <c r="B109" s="127">
        <v>63</v>
      </c>
      <c r="D109" s="246" t="s">
        <v>717</v>
      </c>
    </row>
    <row r="110" spans="1:9">
      <c r="A110" s="111">
        <v>41820</v>
      </c>
      <c r="B110" s="127">
        <v>30.82</v>
      </c>
      <c r="D110" s="246" t="s">
        <v>719</v>
      </c>
    </row>
    <row r="111" spans="1:9">
      <c r="A111" s="111">
        <v>41820</v>
      </c>
      <c r="B111" s="127">
        <v>56</v>
      </c>
      <c r="D111" s="247" t="s">
        <v>733</v>
      </c>
    </row>
    <row r="112" spans="1:9">
      <c r="A112" s="111">
        <v>41821</v>
      </c>
      <c r="B112" s="127">
        <v>32</v>
      </c>
      <c r="D112" s="247" t="s">
        <v>750</v>
      </c>
    </row>
    <row r="113" spans="1:13">
      <c r="A113" s="111">
        <v>41821</v>
      </c>
      <c r="B113" s="127">
        <v>60</v>
      </c>
      <c r="D113" s="247" t="s">
        <v>754</v>
      </c>
    </row>
    <row r="114" spans="1:13">
      <c r="A114" s="111">
        <v>41821</v>
      </c>
      <c r="G114" s="127">
        <v>2.9</v>
      </c>
      <c r="H114" s="247" t="s">
        <v>105</v>
      </c>
      <c r="I114" s="135" t="s">
        <v>508</v>
      </c>
    </row>
    <row r="115" spans="1:13">
      <c r="A115" s="111">
        <v>41820</v>
      </c>
      <c r="C115" s="127">
        <v>30.8</v>
      </c>
      <c r="D115" s="247" t="s">
        <v>757</v>
      </c>
      <c r="E115" s="71" t="s">
        <v>758</v>
      </c>
    </row>
    <row r="116" spans="1:13">
      <c r="A116" s="111">
        <v>41822</v>
      </c>
      <c r="C116" s="127">
        <v>1030</v>
      </c>
      <c r="D116" s="248" t="s">
        <v>791</v>
      </c>
      <c r="E116" s="71" t="s">
        <v>792</v>
      </c>
    </row>
    <row r="117" spans="1:13">
      <c r="A117" s="111">
        <v>41822</v>
      </c>
      <c r="F117" s="127">
        <v>1030</v>
      </c>
      <c r="H117" s="248" t="s">
        <v>791</v>
      </c>
      <c r="I117" s="135" t="s">
        <v>792</v>
      </c>
    </row>
    <row r="118" spans="1:13">
      <c r="A118" s="111">
        <v>41822</v>
      </c>
      <c r="G118" s="127">
        <v>560</v>
      </c>
      <c r="H118" s="249" t="s">
        <v>793</v>
      </c>
      <c r="I118" s="135" t="s">
        <v>794</v>
      </c>
    </row>
    <row r="119" spans="1:13">
      <c r="A119" s="111">
        <v>41822</v>
      </c>
      <c r="C119" s="127">
        <v>1800</v>
      </c>
      <c r="D119" s="250" t="s">
        <v>796</v>
      </c>
      <c r="E119" s="71" t="s">
        <v>797</v>
      </c>
    </row>
    <row r="120" spans="1:13">
      <c r="A120" s="111">
        <v>41822</v>
      </c>
      <c r="B120" s="127">
        <v>16</v>
      </c>
      <c r="D120" s="251" t="s">
        <v>798</v>
      </c>
    </row>
    <row r="121" spans="1:13">
      <c r="A121" s="111">
        <v>41822</v>
      </c>
      <c r="B121" s="127">
        <v>16</v>
      </c>
      <c r="D121" s="252" t="s">
        <v>811</v>
      </c>
    </row>
    <row r="122" spans="1:13">
      <c r="A122" s="111">
        <v>41823</v>
      </c>
      <c r="B122" s="127">
        <v>28</v>
      </c>
      <c r="D122" s="253" t="s">
        <v>833</v>
      </c>
    </row>
    <row r="123" spans="1:13">
      <c r="A123" s="111">
        <v>41824</v>
      </c>
      <c r="B123" s="127">
        <v>14</v>
      </c>
      <c r="D123" s="280" t="s">
        <v>843</v>
      </c>
    </row>
    <row r="124" spans="1:13">
      <c r="A124" s="111">
        <v>41824</v>
      </c>
      <c r="B124" s="127">
        <v>112</v>
      </c>
      <c r="D124" s="280" t="s">
        <v>849</v>
      </c>
    </row>
    <row r="125" spans="1:13">
      <c r="A125" s="111">
        <v>41827</v>
      </c>
      <c r="B125" s="127">
        <v>120</v>
      </c>
      <c r="D125" s="281" t="s">
        <v>863</v>
      </c>
    </row>
    <row r="126" spans="1:13">
      <c r="A126" s="111">
        <v>41827</v>
      </c>
      <c r="B126" s="127">
        <v>56</v>
      </c>
      <c r="D126" s="281" t="s">
        <v>876</v>
      </c>
    </row>
    <row r="127" spans="1:13">
      <c r="A127" s="111">
        <v>41827</v>
      </c>
      <c r="B127" s="127">
        <v>56</v>
      </c>
      <c r="D127" s="282" t="s">
        <v>898</v>
      </c>
    </row>
    <row r="128" spans="1:13">
      <c r="A128" s="111">
        <v>41827</v>
      </c>
      <c r="K128" s="127">
        <v>14.98</v>
      </c>
      <c r="L128" s="290" t="s">
        <v>929</v>
      </c>
      <c r="M128" s="71" t="s">
        <v>930</v>
      </c>
    </row>
    <row r="129" spans="1:9">
      <c r="A129" s="111">
        <v>41829</v>
      </c>
      <c r="B129" s="127">
        <v>14</v>
      </c>
      <c r="D129" s="291" t="s">
        <v>938</v>
      </c>
    </row>
    <row r="130" spans="1:9">
      <c r="A130" s="111">
        <v>41829</v>
      </c>
      <c r="B130" s="127">
        <v>42</v>
      </c>
      <c r="D130" s="291" t="s">
        <v>942</v>
      </c>
    </row>
    <row r="131" spans="1:9">
      <c r="A131" s="111">
        <v>41830</v>
      </c>
      <c r="G131" s="127">
        <v>24.2</v>
      </c>
      <c r="H131" s="292" t="s">
        <v>945</v>
      </c>
      <c r="I131" s="135" t="s">
        <v>946</v>
      </c>
    </row>
    <row r="132" spans="1:9">
      <c r="A132" s="111">
        <v>41834</v>
      </c>
      <c r="B132" s="127">
        <v>15</v>
      </c>
      <c r="D132" s="293" t="s">
        <v>970</v>
      </c>
    </row>
    <row r="133" spans="1:9">
      <c r="A133" s="111">
        <v>41834</v>
      </c>
      <c r="B133" s="127">
        <v>14</v>
      </c>
      <c r="D133" s="293" t="s">
        <v>974</v>
      </c>
    </row>
    <row r="134" spans="1:9">
      <c r="A134" s="111">
        <v>41836</v>
      </c>
      <c r="G134" s="127">
        <v>107.83</v>
      </c>
      <c r="H134" s="294" t="s">
        <v>978</v>
      </c>
      <c r="I134" s="135" t="s">
        <v>979</v>
      </c>
    </row>
    <row r="135" spans="1:9">
      <c r="A135" s="111">
        <v>41835</v>
      </c>
      <c r="B135" s="127">
        <v>28</v>
      </c>
      <c r="D135" s="294" t="s">
        <v>980</v>
      </c>
    </row>
    <row r="136" spans="1:9">
      <c r="A136" s="111">
        <v>41835</v>
      </c>
      <c r="B136" s="127">
        <v>63</v>
      </c>
      <c r="D136" s="294" t="s">
        <v>986</v>
      </c>
    </row>
    <row r="137" spans="1:9">
      <c r="A137" s="111">
        <v>41835</v>
      </c>
      <c r="B137" s="127">
        <v>16</v>
      </c>
      <c r="D137" s="294" t="s">
        <v>998</v>
      </c>
    </row>
    <row r="138" spans="1:9">
      <c r="A138" s="111">
        <v>41835</v>
      </c>
      <c r="B138" s="127">
        <v>28</v>
      </c>
      <c r="D138" s="294" t="s">
        <v>1013</v>
      </c>
    </row>
    <row r="139" spans="1:9">
      <c r="A139" s="111">
        <v>41835</v>
      </c>
      <c r="B139" s="127">
        <v>56</v>
      </c>
      <c r="D139" s="295" t="s">
        <v>1028</v>
      </c>
    </row>
    <row r="140" spans="1:9">
      <c r="A140" s="111">
        <v>41838</v>
      </c>
      <c r="B140" s="127">
        <v>42</v>
      </c>
      <c r="D140" s="296" t="s">
        <v>1041</v>
      </c>
    </row>
    <row r="141" spans="1:9">
      <c r="A141" s="111">
        <v>41837</v>
      </c>
      <c r="B141" s="127">
        <v>63</v>
      </c>
      <c r="D141" s="296" t="s">
        <v>1045</v>
      </c>
    </row>
    <row r="142" spans="1:9">
      <c r="A142" s="111">
        <v>41837</v>
      </c>
      <c r="B142" s="127">
        <v>42</v>
      </c>
      <c r="D142" s="296" t="s">
        <v>1055</v>
      </c>
    </row>
    <row r="143" spans="1:9">
      <c r="A143" s="111">
        <v>41839</v>
      </c>
      <c r="G143" s="127">
        <v>560</v>
      </c>
      <c r="H143" s="297" t="s">
        <v>1060</v>
      </c>
      <c r="I143" s="135" t="s">
        <v>794</v>
      </c>
    </row>
    <row r="144" spans="1:9">
      <c r="A144" s="111">
        <v>41841</v>
      </c>
      <c r="B144" s="127">
        <v>16</v>
      </c>
      <c r="D144" s="298" t="s">
        <v>1068</v>
      </c>
    </row>
    <row r="145" spans="1:9">
      <c r="A145" s="111">
        <v>41841</v>
      </c>
      <c r="B145" s="127">
        <v>16.850000000000001</v>
      </c>
      <c r="D145" s="298" t="s">
        <v>1073</v>
      </c>
    </row>
    <row r="146" spans="1:9">
      <c r="A146" s="111">
        <v>41841</v>
      </c>
      <c r="B146" s="127">
        <v>28</v>
      </c>
      <c r="D146" s="298" t="s">
        <v>1077</v>
      </c>
    </row>
    <row r="147" spans="1:9">
      <c r="A147" s="111">
        <v>41841</v>
      </c>
      <c r="B147" s="127">
        <v>32</v>
      </c>
      <c r="D147" s="298" t="s">
        <v>1080</v>
      </c>
    </row>
    <row r="148" spans="1:9">
      <c r="A148" s="111">
        <v>41843</v>
      </c>
      <c r="B148" s="127">
        <v>63</v>
      </c>
      <c r="D148" s="299" t="s">
        <v>1095</v>
      </c>
    </row>
    <row r="149" spans="1:9">
      <c r="A149" s="111">
        <v>41843</v>
      </c>
      <c r="B149" s="127">
        <v>56</v>
      </c>
      <c r="D149" s="299" t="s">
        <v>1099</v>
      </c>
    </row>
    <row r="150" spans="1:9">
      <c r="A150" s="111">
        <v>41843</v>
      </c>
      <c r="B150" s="127">
        <v>30</v>
      </c>
      <c r="D150" s="299" t="s">
        <v>1108</v>
      </c>
    </row>
    <row r="151" spans="1:9">
      <c r="A151" s="111">
        <v>41843</v>
      </c>
      <c r="B151" s="127">
        <v>56</v>
      </c>
      <c r="D151" s="299" t="s">
        <v>1113</v>
      </c>
    </row>
    <row r="152" spans="1:9">
      <c r="A152" s="111">
        <v>41848</v>
      </c>
      <c r="B152" s="127">
        <v>56</v>
      </c>
      <c r="D152" s="300" t="s">
        <v>1143</v>
      </c>
    </row>
    <row r="153" spans="1:9">
      <c r="A153" s="111">
        <v>41848</v>
      </c>
      <c r="B153" s="127">
        <v>67.400000000000006</v>
      </c>
      <c r="D153" s="300" t="s">
        <v>1147</v>
      </c>
    </row>
    <row r="154" spans="1:9">
      <c r="A154" s="111">
        <v>41848</v>
      </c>
      <c r="B154" s="127">
        <v>28</v>
      </c>
      <c r="D154" s="300" t="s">
        <v>1150</v>
      </c>
    </row>
    <row r="155" spans="1:9">
      <c r="A155" s="111">
        <v>41849</v>
      </c>
      <c r="B155" s="127">
        <v>290</v>
      </c>
      <c r="D155" s="301" t="s">
        <v>1161</v>
      </c>
    </row>
    <row r="156" spans="1:9">
      <c r="A156" s="111">
        <v>41849</v>
      </c>
      <c r="C156" s="127">
        <v>1585</v>
      </c>
      <c r="D156" s="302" t="s">
        <v>791</v>
      </c>
      <c r="E156" s="71" t="s">
        <v>1166</v>
      </c>
    </row>
    <row r="157" spans="1:9">
      <c r="A157" s="111">
        <v>41849</v>
      </c>
      <c r="F157" s="127">
        <v>1585</v>
      </c>
      <c r="H157" s="302" t="s">
        <v>791</v>
      </c>
      <c r="I157" s="135" t="s">
        <v>1166</v>
      </c>
    </row>
    <row r="158" spans="1:9">
      <c r="A158" s="111">
        <v>41850</v>
      </c>
      <c r="G158" s="127">
        <v>560</v>
      </c>
      <c r="H158" s="303" t="s">
        <v>1171</v>
      </c>
      <c r="I158" s="135" t="s">
        <v>794</v>
      </c>
    </row>
    <row r="159" spans="1:9">
      <c r="A159" s="111">
        <v>41851</v>
      </c>
      <c r="B159" s="127">
        <v>62.83</v>
      </c>
      <c r="D159" s="304" t="s">
        <v>1183</v>
      </c>
    </row>
    <row r="160" spans="1:9">
      <c r="A160" s="111">
        <v>41851</v>
      </c>
      <c r="B160" s="127">
        <v>62.83</v>
      </c>
      <c r="D160" s="304" t="s">
        <v>1195</v>
      </c>
    </row>
    <row r="161" spans="1:9">
      <c r="A161" s="111">
        <v>41851</v>
      </c>
      <c r="B161" s="127">
        <v>62.83</v>
      </c>
      <c r="D161" s="304" t="s">
        <v>1204</v>
      </c>
    </row>
    <row r="162" spans="1:9">
      <c r="A162" s="111">
        <v>41851</v>
      </c>
      <c r="B162" s="127">
        <v>28</v>
      </c>
      <c r="D162" s="305" t="s">
        <v>1219</v>
      </c>
    </row>
    <row r="163" spans="1:9">
      <c r="A163" s="111">
        <v>41851</v>
      </c>
      <c r="B163" s="127">
        <v>28</v>
      </c>
      <c r="D163" s="305" t="s">
        <v>1222</v>
      </c>
    </row>
    <row r="164" spans="1:9">
      <c r="A164" s="111">
        <v>41855</v>
      </c>
      <c r="G164" s="127">
        <v>2.6</v>
      </c>
      <c r="H164" s="306" t="s">
        <v>105</v>
      </c>
      <c r="I164" s="135" t="s">
        <v>508</v>
      </c>
    </row>
  </sheetData>
  <mergeCells count="19">
    <mergeCell ref="E3:F3"/>
    <mergeCell ref="G3:H3"/>
    <mergeCell ref="I3:J3"/>
    <mergeCell ref="O8:Q8"/>
    <mergeCell ref="B4:C4"/>
    <mergeCell ref="F4:G4"/>
    <mergeCell ref="J4:K4"/>
    <mergeCell ref="B2:D2"/>
    <mergeCell ref="F2:H2"/>
    <mergeCell ref="J2:L2"/>
    <mergeCell ref="B8:E8"/>
    <mergeCell ref="F8:I8"/>
    <mergeCell ref="J8:M8"/>
    <mergeCell ref="B5:C5"/>
    <mergeCell ref="F5:G5"/>
    <mergeCell ref="J5:K5"/>
    <mergeCell ref="K3:L3"/>
    <mergeCell ref="A3:B3"/>
    <mergeCell ref="C3:D3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"/>
  <dimension ref="A1:R13"/>
  <sheetViews>
    <sheetView workbookViewId="0">
      <pane ySplit="9" topLeftCell="A10" activePane="bottomLeft" state="frozen"/>
      <selection pane="bottomLeft" activeCell="I15" sqref="I15"/>
    </sheetView>
  </sheetViews>
  <sheetFormatPr baseColWidth="10" defaultRowHeight="15"/>
  <cols>
    <col min="6" max="6" width="11.42578125" style="47"/>
    <col min="7" max="7" width="13.140625" bestFit="1" customWidth="1"/>
    <col min="8" max="8" width="15.42578125" bestFit="1" customWidth="1"/>
    <col min="9" max="9" width="14.5703125" style="74" bestFit="1" customWidth="1"/>
    <col min="10" max="11" width="14.5703125" customWidth="1"/>
    <col min="12" max="12" width="14.5703125" bestFit="1" customWidth="1"/>
    <col min="13" max="13" width="15" bestFit="1" customWidth="1"/>
    <col min="14" max="14" width="13.28515625" bestFit="1" customWidth="1"/>
    <col min="15" max="16" width="12.85546875" bestFit="1" customWidth="1"/>
    <col min="17" max="17" width="12.7109375" bestFit="1" customWidth="1"/>
    <col min="18" max="18" width="14.5703125" bestFit="1" customWidth="1"/>
  </cols>
  <sheetData>
    <row r="1" spans="1:18">
      <c r="D1" t="s">
        <v>116</v>
      </c>
      <c r="F1" s="47" t="s">
        <v>120</v>
      </c>
    </row>
    <row r="2" spans="1:18">
      <c r="D2" t="s">
        <v>117</v>
      </c>
      <c r="F2" s="47" t="s">
        <v>121</v>
      </c>
    </row>
    <row r="3" spans="1:18">
      <c r="D3" t="s">
        <v>118</v>
      </c>
      <c r="F3" s="47" t="s">
        <v>122</v>
      </c>
      <c r="H3" s="70"/>
    </row>
    <row r="4" spans="1:18">
      <c r="D4" t="s">
        <v>119</v>
      </c>
      <c r="F4" s="47" t="s">
        <v>123</v>
      </c>
      <c r="H4" s="70"/>
    </row>
    <row r="5" spans="1:18">
      <c r="D5" t="s">
        <v>332</v>
      </c>
      <c r="F5" s="47" t="s">
        <v>333</v>
      </c>
    </row>
    <row r="9" spans="1:18" ht="45">
      <c r="A9">
        <v>1</v>
      </c>
      <c r="B9">
        <v>2</v>
      </c>
      <c r="C9">
        <v>3</v>
      </c>
      <c r="D9">
        <v>4</v>
      </c>
      <c r="E9">
        <v>5</v>
      </c>
      <c r="F9" s="69" t="s">
        <v>133</v>
      </c>
      <c r="G9" t="s">
        <v>124</v>
      </c>
      <c r="H9" t="s">
        <v>126</v>
      </c>
      <c r="I9" s="74" t="s">
        <v>125</v>
      </c>
      <c r="J9" t="s">
        <v>152</v>
      </c>
      <c r="K9" t="s">
        <v>153</v>
      </c>
      <c r="L9" t="s">
        <v>127</v>
      </c>
      <c r="M9" t="s">
        <v>128</v>
      </c>
      <c r="N9" t="s">
        <v>129</v>
      </c>
      <c r="O9" t="s">
        <v>130</v>
      </c>
      <c r="P9" t="s">
        <v>131</v>
      </c>
      <c r="Q9" t="s">
        <v>132</v>
      </c>
      <c r="R9" t="s">
        <v>134</v>
      </c>
    </row>
    <row r="10" spans="1:18">
      <c r="H10" s="45"/>
    </row>
    <row r="11" spans="1:18">
      <c r="H11" s="45"/>
    </row>
    <row r="12" spans="1:18">
      <c r="H12" s="45"/>
    </row>
    <row r="13" spans="1:18">
      <c r="H13" s="4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 filterMode="1"/>
  <dimension ref="A1:O108"/>
  <sheetViews>
    <sheetView topLeftCell="A109" zoomScaleNormal="100" workbookViewId="0">
      <selection activeCell="D105" sqref="D105"/>
    </sheetView>
  </sheetViews>
  <sheetFormatPr baseColWidth="10" defaultRowHeight="15"/>
  <cols>
    <col min="1" max="1" width="11" style="43" customWidth="1"/>
    <col min="2" max="2" width="0.140625" style="72" customWidth="1"/>
    <col min="3" max="3" width="5" style="72" customWidth="1"/>
    <col min="4" max="4" width="37.7109375" style="309" customWidth="1"/>
    <col min="5" max="5" width="25.7109375" style="309" customWidth="1"/>
    <col min="6" max="6" width="10.7109375" style="44" customWidth="1"/>
    <col min="7" max="7" width="9.42578125" style="40" bestFit="1" customWidth="1"/>
    <col min="8" max="8" width="11" style="41" bestFit="1" customWidth="1"/>
    <col min="9" max="9" width="11" style="42" customWidth="1"/>
    <col min="10" max="10" width="11.85546875" style="43" customWidth="1"/>
    <col min="11" max="11" width="10.42578125" customWidth="1"/>
    <col min="12" max="12" width="3.140625" customWidth="1"/>
    <col min="13" max="13" width="12.7109375" customWidth="1"/>
    <col min="15" max="15" width="46.42578125" customWidth="1"/>
  </cols>
  <sheetData>
    <row r="1" spans="1:15" s="35" customFormat="1" ht="20.25">
      <c r="A1" s="152" t="s">
        <v>689</v>
      </c>
      <c r="B1" s="148"/>
      <c r="C1" s="148"/>
      <c r="D1" s="307"/>
      <c r="E1" s="310" t="s">
        <v>1222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15" s="35" customFormat="1" ht="20.25">
      <c r="A2" s="335" t="s">
        <v>1235</v>
      </c>
      <c r="B2" s="336"/>
      <c r="C2" s="336"/>
      <c r="D2" s="337"/>
      <c r="E2" s="332" t="s">
        <v>192</v>
      </c>
      <c r="F2" s="333"/>
      <c r="G2" s="334"/>
      <c r="H2" s="149"/>
      <c r="I2" s="150"/>
      <c r="J2" s="147"/>
      <c r="K2"/>
      <c r="L2"/>
      <c r="M2"/>
      <c r="N2"/>
      <c r="O2" s="226"/>
    </row>
    <row r="3" spans="1:15" s="35" customFormat="1" ht="18.75">
      <c r="A3" s="147"/>
      <c r="B3" s="148"/>
      <c r="C3" s="148"/>
      <c r="D3" s="307"/>
      <c r="E3" s="185" t="s">
        <v>189</v>
      </c>
      <c r="F3" s="331">
        <f>SUBTOTAL(9,F10:F65463)</f>
        <v>0</v>
      </c>
      <c r="G3" s="331"/>
      <c r="H3" s="149"/>
      <c r="I3" s="150"/>
      <c r="J3" s="147"/>
      <c r="K3"/>
      <c r="L3"/>
      <c r="M3"/>
      <c r="N3"/>
    </row>
    <row r="4" spans="1:15" s="35" customFormat="1" ht="18.75">
      <c r="A4" s="147"/>
      <c r="B4" s="148"/>
      <c r="C4" s="148"/>
      <c r="D4" s="307"/>
      <c r="E4" s="185" t="s">
        <v>188</v>
      </c>
      <c r="F4" s="331">
        <f>SUBTOTAL(9,G10:G65463)</f>
        <v>0</v>
      </c>
      <c r="G4" s="331"/>
      <c r="H4" s="149"/>
      <c r="I4" s="150"/>
      <c r="J4" s="147"/>
      <c r="K4"/>
      <c r="L4"/>
      <c r="M4"/>
      <c r="N4"/>
    </row>
    <row r="5" spans="1:15" s="35" customFormat="1" ht="18.75">
      <c r="A5" s="147"/>
      <c r="B5" s="148"/>
      <c r="C5" s="148"/>
      <c r="D5" s="307"/>
      <c r="E5" s="185" t="s">
        <v>187</v>
      </c>
      <c r="F5" s="331">
        <f>SUBTOTAL(9,H10:H65463)</f>
        <v>0</v>
      </c>
      <c r="G5" s="331"/>
      <c r="H5" s="149"/>
      <c r="I5" s="150"/>
      <c r="J5" s="147"/>
      <c r="K5"/>
      <c r="L5"/>
      <c r="M5"/>
      <c r="N5"/>
    </row>
    <row r="6" spans="1:15" s="35" customFormat="1">
      <c r="A6" s="147"/>
      <c r="B6" s="148"/>
      <c r="C6" s="148"/>
      <c r="D6" s="307"/>
      <c r="E6" s="307"/>
      <c r="F6" s="144"/>
      <c r="G6" s="149"/>
      <c r="H6" s="149"/>
      <c r="I6" s="150"/>
      <c r="J6" s="147"/>
      <c r="K6"/>
      <c r="L6"/>
      <c r="M6"/>
      <c r="N6"/>
    </row>
    <row r="7" spans="1:15" s="35" customFormat="1" ht="17.25">
      <c r="A7" s="147"/>
      <c r="B7" s="148"/>
      <c r="C7" s="148"/>
      <c r="D7" s="307"/>
      <c r="E7" s="311"/>
      <c r="F7" s="151"/>
      <c r="G7" s="151"/>
      <c r="H7" s="151"/>
      <c r="I7" s="150"/>
      <c r="J7" s="147"/>
      <c r="K7"/>
      <c r="L7"/>
      <c r="M7"/>
      <c r="N7"/>
    </row>
    <row r="8" spans="1:15" s="35" customFormat="1" ht="15.75" thickBot="1">
      <c r="A8" s="147"/>
      <c r="B8" s="195"/>
      <c r="C8" s="148"/>
      <c r="D8" s="307"/>
      <c r="E8" s="307"/>
      <c r="F8" s="144"/>
      <c r="G8" s="149"/>
      <c r="H8" s="149"/>
      <c r="I8" s="150"/>
      <c r="J8" s="147"/>
      <c r="K8" s="38"/>
      <c r="L8" s="38"/>
      <c r="M8" s="38"/>
      <c r="N8" s="38"/>
    </row>
    <row r="9" spans="1:15" s="180" customFormat="1" ht="30" thickBot="1">
      <c r="A9" s="227" t="s">
        <v>683</v>
      </c>
      <c r="B9" s="196"/>
      <c r="C9" s="176" t="s">
        <v>147</v>
      </c>
      <c r="D9" s="177" t="s">
        <v>62</v>
      </c>
      <c r="E9" s="177" t="s">
        <v>48</v>
      </c>
      <c r="F9" s="181" t="s">
        <v>85</v>
      </c>
      <c r="G9" s="182" t="s">
        <v>83</v>
      </c>
      <c r="H9" s="183" t="s">
        <v>78</v>
      </c>
      <c r="I9" s="178" t="s">
        <v>82</v>
      </c>
      <c r="J9" s="228" t="s">
        <v>684</v>
      </c>
      <c r="K9" s="47"/>
      <c r="L9" s="179"/>
      <c r="M9" s="179"/>
      <c r="N9" s="47"/>
    </row>
    <row r="10" spans="1:15" s="35" customFormat="1" hidden="1">
      <c r="A10" s="39">
        <v>41642</v>
      </c>
      <c r="B10" s="73"/>
      <c r="C10" s="73" t="s">
        <v>346</v>
      </c>
      <c r="D10" s="308" t="s">
        <v>212</v>
      </c>
      <c r="E10" s="308"/>
      <c r="F10" s="44">
        <v>1757.7</v>
      </c>
      <c r="G10" s="145">
        <v>333.96</v>
      </c>
      <c r="H10" s="146">
        <v>2091.66</v>
      </c>
      <c r="I10" s="66" t="s">
        <v>345</v>
      </c>
      <c r="J10" s="39"/>
      <c r="K10"/>
      <c r="L10" s="38"/>
      <c r="M10" s="38"/>
      <c r="N10"/>
    </row>
    <row r="11" spans="1:15" s="35" customFormat="1" hidden="1">
      <c r="A11" s="43">
        <v>41649</v>
      </c>
      <c r="B11" s="72"/>
      <c r="C11" s="72" t="s">
        <v>350</v>
      </c>
      <c r="D11" s="309" t="s">
        <v>228</v>
      </c>
      <c r="E11" s="309"/>
      <c r="F11" s="44">
        <v>52.8</v>
      </c>
      <c r="G11" s="40">
        <v>10.029999999999999</v>
      </c>
      <c r="H11" s="41">
        <v>62.83</v>
      </c>
      <c r="I11" s="184" t="s">
        <v>348</v>
      </c>
      <c r="J11" s="43"/>
      <c r="K11"/>
      <c r="L11"/>
      <c r="M11"/>
      <c r="N11"/>
    </row>
    <row r="12" spans="1:15" s="35" customFormat="1" hidden="1">
      <c r="A12" s="43">
        <v>41649</v>
      </c>
      <c r="B12" s="72"/>
      <c r="C12" s="72" t="s">
        <v>360</v>
      </c>
      <c r="D12" s="309" t="s">
        <v>291</v>
      </c>
      <c r="E12" s="309" t="s">
        <v>292</v>
      </c>
      <c r="F12" s="44">
        <v>11.76</v>
      </c>
      <c r="G12" s="40">
        <v>2.23</v>
      </c>
      <c r="H12" s="41">
        <v>13.99</v>
      </c>
      <c r="I12" s="184" t="s">
        <v>359</v>
      </c>
      <c r="J12" s="43"/>
      <c r="K12"/>
      <c r="L12"/>
      <c r="M12"/>
      <c r="N12"/>
    </row>
    <row r="13" spans="1:15" s="35" customFormat="1" hidden="1">
      <c r="A13" s="43">
        <v>41649</v>
      </c>
      <c r="B13" s="72"/>
      <c r="C13" s="72" t="s">
        <v>364</v>
      </c>
      <c r="D13" s="309" t="s">
        <v>245</v>
      </c>
      <c r="E13" s="309" t="s">
        <v>240</v>
      </c>
      <c r="F13" s="44">
        <v>28.32</v>
      </c>
      <c r="G13" s="40">
        <v>5.38</v>
      </c>
      <c r="H13" s="41">
        <v>33.700000000000003</v>
      </c>
      <c r="I13" s="184" t="s">
        <v>363</v>
      </c>
      <c r="J13" s="43"/>
      <c r="K13"/>
      <c r="L13" s="38"/>
      <c r="M13" s="38"/>
      <c r="N13"/>
    </row>
    <row r="14" spans="1:15" s="35" customFormat="1" hidden="1">
      <c r="A14" s="43">
        <v>41649</v>
      </c>
      <c r="B14" s="72"/>
      <c r="C14" s="72" t="s">
        <v>368</v>
      </c>
      <c r="D14" s="309" t="s">
        <v>234</v>
      </c>
      <c r="E14" s="309" t="s">
        <v>235</v>
      </c>
      <c r="F14" s="44">
        <v>47.04</v>
      </c>
      <c r="G14" s="40">
        <v>8.94</v>
      </c>
      <c r="H14" s="41">
        <v>55.98</v>
      </c>
      <c r="I14" s="184" t="s">
        <v>367</v>
      </c>
      <c r="J14" s="43"/>
      <c r="K14"/>
      <c r="L14" s="38"/>
      <c r="M14" s="38"/>
      <c r="N14"/>
    </row>
    <row r="15" spans="1:15" s="35" customFormat="1" hidden="1">
      <c r="A15" s="43">
        <v>41649</v>
      </c>
      <c r="B15" s="72"/>
      <c r="C15" s="72" t="s">
        <v>372</v>
      </c>
      <c r="D15" s="309" t="s">
        <v>296</v>
      </c>
      <c r="E15" s="309" t="s">
        <v>297</v>
      </c>
      <c r="F15" s="44">
        <v>14.16</v>
      </c>
      <c r="G15" s="40">
        <v>2.69</v>
      </c>
      <c r="H15" s="41">
        <v>16.850000000000001</v>
      </c>
      <c r="I15" s="184" t="s">
        <v>371</v>
      </c>
      <c r="J15" s="43"/>
      <c r="K15"/>
      <c r="L15" s="38"/>
      <c r="M15" s="38"/>
      <c r="N15"/>
    </row>
    <row r="16" spans="1:15" s="35" customFormat="1" hidden="1">
      <c r="A16" s="43">
        <v>41649</v>
      </c>
      <c r="B16" s="72"/>
      <c r="C16" s="72" t="s">
        <v>562</v>
      </c>
      <c r="D16" s="309" t="s">
        <v>195</v>
      </c>
      <c r="E16" s="309" t="s">
        <v>196</v>
      </c>
      <c r="F16" s="44">
        <v>52.8</v>
      </c>
      <c r="G16" s="40">
        <v>10.029999999999999</v>
      </c>
      <c r="H16" s="41">
        <v>62.83</v>
      </c>
      <c r="I16" s="184" t="s">
        <v>373</v>
      </c>
      <c r="J16" s="43"/>
      <c r="K16"/>
      <c r="L16" s="38"/>
      <c r="M16" s="38"/>
      <c r="N16"/>
    </row>
    <row r="17" spans="1:14" s="35" customFormat="1" hidden="1">
      <c r="A17" s="43">
        <v>41649</v>
      </c>
      <c r="B17" s="72"/>
      <c r="C17" s="72" t="s">
        <v>377</v>
      </c>
      <c r="D17" s="309" t="s">
        <v>233</v>
      </c>
      <c r="E17" s="309" t="s">
        <v>55</v>
      </c>
      <c r="F17" s="44">
        <v>33.840000000000003</v>
      </c>
      <c r="G17" s="40">
        <v>6.43</v>
      </c>
      <c r="H17" s="41">
        <v>40.270000000000003</v>
      </c>
      <c r="I17" s="184" t="s">
        <v>376</v>
      </c>
      <c r="J17" s="43"/>
      <c r="K17"/>
      <c r="L17" s="38"/>
      <c r="M17" s="38"/>
      <c r="N17"/>
    </row>
    <row r="18" spans="1:14" s="35" customFormat="1" hidden="1">
      <c r="A18" s="43">
        <v>41653</v>
      </c>
      <c r="B18" s="72"/>
      <c r="C18" s="72" t="s">
        <v>346</v>
      </c>
      <c r="D18" s="309" t="s">
        <v>212</v>
      </c>
      <c r="E18" s="309"/>
      <c r="F18" s="44">
        <v>860.8</v>
      </c>
      <c r="G18" s="40">
        <v>163.55000000000001</v>
      </c>
      <c r="H18" s="41">
        <v>1024.3499999999999</v>
      </c>
      <c r="I18" s="184" t="s">
        <v>384</v>
      </c>
      <c r="J18" s="43"/>
      <c r="K18"/>
      <c r="L18" s="38"/>
      <c r="M18" s="38"/>
      <c r="N18"/>
    </row>
    <row r="19" spans="1:14" s="35" customFormat="1" hidden="1">
      <c r="A19" s="43">
        <v>41666</v>
      </c>
      <c r="B19" s="72"/>
      <c r="C19" s="72" t="s">
        <v>563</v>
      </c>
      <c r="D19" s="309" t="s">
        <v>392</v>
      </c>
      <c r="E19" s="309" t="s">
        <v>393</v>
      </c>
      <c r="F19" s="44">
        <v>23.52</v>
      </c>
      <c r="G19" s="40">
        <v>4.47</v>
      </c>
      <c r="H19" s="41">
        <v>27.99</v>
      </c>
      <c r="I19" s="184" t="s">
        <v>398</v>
      </c>
      <c r="J19" s="43"/>
      <c r="K19"/>
      <c r="L19"/>
      <c r="M19"/>
      <c r="N19"/>
    </row>
    <row r="20" spans="1:14" s="35" customFormat="1" hidden="1">
      <c r="A20" s="43">
        <v>41669</v>
      </c>
      <c r="B20" s="72"/>
      <c r="C20" s="72" t="s">
        <v>377</v>
      </c>
      <c r="D20" s="309" t="s">
        <v>233</v>
      </c>
      <c r="E20" s="309" t="s">
        <v>408</v>
      </c>
      <c r="F20" s="44">
        <v>72.48</v>
      </c>
      <c r="G20" s="40">
        <v>13.77</v>
      </c>
      <c r="H20" s="41">
        <v>86.25</v>
      </c>
      <c r="I20" s="184" t="s">
        <v>409</v>
      </c>
      <c r="J20" s="43"/>
      <c r="K20"/>
      <c r="L20"/>
      <c r="M20"/>
      <c r="N20"/>
    </row>
    <row r="21" spans="1:14" s="35" customFormat="1" hidden="1">
      <c r="A21" s="43">
        <v>41669</v>
      </c>
      <c r="B21" s="72"/>
      <c r="C21" s="72" t="s">
        <v>417</v>
      </c>
      <c r="D21" s="309" t="s">
        <v>275</v>
      </c>
      <c r="E21" s="309" t="s">
        <v>276</v>
      </c>
      <c r="F21" s="44">
        <v>28.8</v>
      </c>
      <c r="G21" s="40">
        <v>5.47</v>
      </c>
      <c r="H21" s="41">
        <v>34.270000000000003</v>
      </c>
      <c r="I21" s="184" t="s">
        <v>412</v>
      </c>
      <c r="J21" s="43"/>
      <c r="K21"/>
      <c r="L21"/>
      <c r="M21"/>
      <c r="N21"/>
    </row>
    <row r="22" spans="1:14" s="35" customFormat="1" hidden="1">
      <c r="A22" s="43">
        <v>41669</v>
      </c>
      <c r="B22" s="72"/>
      <c r="C22" s="72" t="s">
        <v>350</v>
      </c>
      <c r="D22" s="309" t="s">
        <v>228</v>
      </c>
      <c r="E22" s="309"/>
      <c r="F22" s="44">
        <v>26.4</v>
      </c>
      <c r="G22" s="40">
        <v>5.0199999999999996</v>
      </c>
      <c r="H22" s="41">
        <v>31.42</v>
      </c>
      <c r="I22" s="184" t="s">
        <v>413</v>
      </c>
      <c r="J22" s="43"/>
      <c r="K22"/>
      <c r="L22"/>
      <c r="M22"/>
      <c r="N22"/>
    </row>
    <row r="23" spans="1:14" s="35" customFormat="1" hidden="1">
      <c r="A23" s="43">
        <v>41673</v>
      </c>
      <c r="B23" s="72"/>
      <c r="C23" s="72" t="s">
        <v>346</v>
      </c>
      <c r="D23" s="309" t="s">
        <v>212</v>
      </c>
      <c r="E23" s="309"/>
      <c r="F23" s="44">
        <v>171.92</v>
      </c>
      <c r="G23" s="40">
        <v>32.659999999999997</v>
      </c>
      <c r="H23" s="41">
        <v>204.58</v>
      </c>
      <c r="I23" s="184" t="s">
        <v>457</v>
      </c>
      <c r="J23" s="43"/>
      <c r="K23"/>
      <c r="L23" s="38"/>
      <c r="M23" s="38"/>
      <c r="N23"/>
    </row>
    <row r="24" spans="1:14" s="35" customFormat="1" hidden="1">
      <c r="A24" s="43">
        <v>41675</v>
      </c>
      <c r="B24" s="72"/>
      <c r="C24" s="72" t="s">
        <v>562</v>
      </c>
      <c r="D24" s="309" t="s">
        <v>195</v>
      </c>
      <c r="E24" s="309" t="s">
        <v>196</v>
      </c>
      <c r="F24" s="44">
        <v>66</v>
      </c>
      <c r="G24" s="40">
        <v>12.54</v>
      </c>
      <c r="H24" s="41">
        <v>78.540000000000006</v>
      </c>
      <c r="I24" s="184" t="s">
        <v>460</v>
      </c>
      <c r="J24" s="43"/>
      <c r="K24"/>
      <c r="L24" s="38"/>
      <c r="M24" s="38"/>
      <c r="N24"/>
    </row>
    <row r="25" spans="1:14" s="35" customFormat="1" hidden="1">
      <c r="A25" s="43">
        <v>41681</v>
      </c>
      <c r="B25" s="72"/>
      <c r="C25" s="72" t="s">
        <v>377</v>
      </c>
      <c r="D25" s="309" t="s">
        <v>233</v>
      </c>
      <c r="E25" s="309" t="s">
        <v>408</v>
      </c>
      <c r="F25" s="44">
        <v>13.44</v>
      </c>
      <c r="G25" s="40">
        <v>2.5499999999999998</v>
      </c>
      <c r="H25" s="41">
        <v>15.99</v>
      </c>
      <c r="I25" s="184" t="s">
        <v>467</v>
      </c>
      <c r="J25" s="43"/>
      <c r="K25"/>
      <c r="L25" s="38"/>
      <c r="M25" s="38"/>
      <c r="N25"/>
    </row>
    <row r="26" spans="1:14" s="35" customFormat="1" hidden="1">
      <c r="A26" s="43">
        <v>41682</v>
      </c>
      <c r="B26" s="72"/>
      <c r="C26" s="72" t="s">
        <v>377</v>
      </c>
      <c r="D26" s="309" t="s">
        <v>233</v>
      </c>
      <c r="E26" s="309" t="s">
        <v>408</v>
      </c>
      <c r="F26" s="44">
        <v>11.28</v>
      </c>
      <c r="G26" s="40">
        <v>2.14</v>
      </c>
      <c r="H26" s="41">
        <v>13.42</v>
      </c>
      <c r="I26" s="184" t="s">
        <v>469</v>
      </c>
      <c r="J26" s="43"/>
      <c r="K26"/>
      <c r="L26" s="38"/>
      <c r="M26" s="38"/>
      <c r="N26"/>
    </row>
    <row r="27" spans="1:14" s="35" customFormat="1" hidden="1">
      <c r="A27" s="43">
        <v>41682</v>
      </c>
      <c r="B27" s="72"/>
      <c r="C27" s="72" t="s">
        <v>368</v>
      </c>
      <c r="D27" s="309" t="s">
        <v>234</v>
      </c>
      <c r="E27" s="309" t="s">
        <v>235</v>
      </c>
      <c r="F27" s="44">
        <v>52.8</v>
      </c>
      <c r="G27" s="40">
        <v>10.029999999999999</v>
      </c>
      <c r="H27" s="41">
        <v>62.83</v>
      </c>
      <c r="I27" s="184" t="s">
        <v>471</v>
      </c>
      <c r="J27" s="43"/>
      <c r="K27"/>
      <c r="L27" s="38"/>
      <c r="M27" s="38"/>
      <c r="N27"/>
    </row>
    <row r="28" spans="1:14" hidden="1">
      <c r="A28" s="43">
        <v>41684</v>
      </c>
      <c r="C28" s="72" t="s">
        <v>481</v>
      </c>
      <c r="D28" s="309" t="s">
        <v>232</v>
      </c>
      <c r="E28" s="309" t="s">
        <v>201</v>
      </c>
      <c r="F28" s="44">
        <v>101.13</v>
      </c>
      <c r="G28" s="40">
        <v>19.21</v>
      </c>
      <c r="H28" s="41">
        <v>120.34</v>
      </c>
      <c r="I28" s="184" t="s">
        <v>478</v>
      </c>
    </row>
    <row r="29" spans="1:14" hidden="1">
      <c r="A29" s="43">
        <v>41688</v>
      </c>
      <c r="C29" s="72" t="s">
        <v>350</v>
      </c>
      <c r="D29" s="309" t="s">
        <v>228</v>
      </c>
      <c r="F29" s="44">
        <v>39.6</v>
      </c>
      <c r="G29" s="40">
        <v>7.52</v>
      </c>
      <c r="H29" s="41">
        <v>47.12</v>
      </c>
      <c r="I29" s="184" t="s">
        <v>488</v>
      </c>
    </row>
    <row r="30" spans="1:14" hidden="1">
      <c r="A30" s="43">
        <v>41688</v>
      </c>
      <c r="C30" s="72" t="s">
        <v>500</v>
      </c>
      <c r="D30" s="309" t="s">
        <v>489</v>
      </c>
      <c r="E30" s="309" t="s">
        <v>490</v>
      </c>
      <c r="F30" s="44">
        <v>39.6</v>
      </c>
      <c r="G30" s="40">
        <v>7.52</v>
      </c>
      <c r="H30" s="41">
        <v>47.12</v>
      </c>
      <c r="I30" s="184" t="s">
        <v>499</v>
      </c>
    </row>
    <row r="31" spans="1:14" hidden="1">
      <c r="A31" s="43">
        <v>41689</v>
      </c>
      <c r="C31" s="72" t="s">
        <v>377</v>
      </c>
      <c r="D31" s="309" t="s">
        <v>233</v>
      </c>
      <c r="E31" s="309" t="s">
        <v>408</v>
      </c>
      <c r="F31" s="44">
        <v>63.84</v>
      </c>
      <c r="G31" s="40">
        <v>12.13</v>
      </c>
      <c r="H31" s="41">
        <v>75.97</v>
      </c>
      <c r="I31" s="184" t="s">
        <v>513</v>
      </c>
    </row>
    <row r="32" spans="1:14" hidden="1">
      <c r="A32" s="43">
        <v>41689</v>
      </c>
      <c r="C32" s="72" t="s">
        <v>518</v>
      </c>
      <c r="D32" s="309" t="s">
        <v>269</v>
      </c>
      <c r="E32" s="309" t="s">
        <v>270</v>
      </c>
      <c r="F32" s="44">
        <v>42.48</v>
      </c>
      <c r="G32" s="40">
        <v>8.07</v>
      </c>
      <c r="H32" s="41">
        <v>50.55</v>
      </c>
      <c r="I32" s="184" t="s">
        <v>517</v>
      </c>
    </row>
    <row r="33" spans="1:9" hidden="1">
      <c r="A33" s="43">
        <v>41691</v>
      </c>
      <c r="C33" s="72" t="s">
        <v>563</v>
      </c>
      <c r="D33" s="309" t="s">
        <v>392</v>
      </c>
      <c r="E33" s="309" t="s">
        <v>393</v>
      </c>
      <c r="F33" s="44">
        <v>10.199999999999999</v>
      </c>
      <c r="G33" s="40">
        <v>1.94</v>
      </c>
      <c r="H33" s="41">
        <v>12.14</v>
      </c>
      <c r="I33" s="184" t="s">
        <v>520</v>
      </c>
    </row>
    <row r="34" spans="1:9" hidden="1">
      <c r="A34" s="43">
        <v>41695</v>
      </c>
      <c r="C34" s="72" t="s">
        <v>525</v>
      </c>
      <c r="D34" s="309" t="s">
        <v>324</v>
      </c>
      <c r="E34" s="309" t="s">
        <v>325</v>
      </c>
      <c r="F34" s="44">
        <v>61.2</v>
      </c>
      <c r="G34" s="40">
        <v>11.63</v>
      </c>
      <c r="H34" s="41">
        <v>72.83</v>
      </c>
      <c r="I34" s="184" t="s">
        <v>523</v>
      </c>
    </row>
    <row r="35" spans="1:9" hidden="1">
      <c r="A35" s="43">
        <v>41705</v>
      </c>
      <c r="C35" s="72" t="s">
        <v>377</v>
      </c>
      <c r="D35" s="309" t="s">
        <v>233</v>
      </c>
      <c r="E35" s="309" t="s">
        <v>408</v>
      </c>
      <c r="F35" s="44">
        <v>54.12</v>
      </c>
      <c r="G35" s="40">
        <v>10.28</v>
      </c>
      <c r="H35" s="41">
        <v>64.400000000000006</v>
      </c>
      <c r="I35" s="184" t="s">
        <v>538</v>
      </c>
    </row>
    <row r="36" spans="1:9" hidden="1">
      <c r="A36" s="43">
        <v>41709</v>
      </c>
      <c r="C36" s="72" t="s">
        <v>545</v>
      </c>
      <c r="D36" s="309" t="s">
        <v>259</v>
      </c>
      <c r="F36" s="44">
        <v>28.8</v>
      </c>
      <c r="G36" s="40">
        <v>5.47</v>
      </c>
      <c r="H36" s="41">
        <v>34.270000000000003</v>
      </c>
      <c r="I36" s="184" t="s">
        <v>544</v>
      </c>
    </row>
    <row r="37" spans="1:9" hidden="1">
      <c r="A37" s="43">
        <v>41709</v>
      </c>
      <c r="C37" s="72" t="s">
        <v>350</v>
      </c>
      <c r="D37" s="309" t="s">
        <v>228</v>
      </c>
      <c r="F37" s="44">
        <v>52.8</v>
      </c>
      <c r="G37" s="40">
        <v>10.029999999999999</v>
      </c>
      <c r="H37" s="41">
        <v>62.83</v>
      </c>
      <c r="I37" s="184" t="s">
        <v>548</v>
      </c>
    </row>
    <row r="38" spans="1:9" hidden="1">
      <c r="A38" s="43">
        <v>41711</v>
      </c>
      <c r="C38" s="72" t="s">
        <v>364</v>
      </c>
      <c r="D38" s="309" t="s">
        <v>245</v>
      </c>
      <c r="E38" s="309" t="s">
        <v>240</v>
      </c>
      <c r="F38" s="44">
        <v>14.16</v>
      </c>
      <c r="G38" s="40">
        <v>2.69</v>
      </c>
      <c r="H38" s="41">
        <v>16.850000000000001</v>
      </c>
      <c r="I38" s="184" t="s">
        <v>568</v>
      </c>
    </row>
    <row r="39" spans="1:9" hidden="1">
      <c r="A39" s="43">
        <v>41716</v>
      </c>
      <c r="C39" s="72" t="s">
        <v>572</v>
      </c>
      <c r="D39" s="309" t="s">
        <v>264</v>
      </c>
      <c r="E39" s="309" t="s">
        <v>265</v>
      </c>
      <c r="F39" s="44">
        <v>7.08</v>
      </c>
      <c r="G39" s="40">
        <v>1.35</v>
      </c>
      <c r="H39" s="41">
        <v>8.43</v>
      </c>
      <c r="I39" s="184" t="s">
        <v>571</v>
      </c>
    </row>
    <row r="40" spans="1:9" hidden="1">
      <c r="A40" s="43">
        <v>41716</v>
      </c>
      <c r="C40" s="72" t="s">
        <v>562</v>
      </c>
      <c r="D40" s="309" t="s">
        <v>195</v>
      </c>
      <c r="E40" s="309" t="s">
        <v>196</v>
      </c>
      <c r="F40" s="44">
        <v>26.4</v>
      </c>
      <c r="G40" s="40">
        <v>5.0199999999999996</v>
      </c>
      <c r="H40" s="41">
        <v>31.42</v>
      </c>
      <c r="I40" s="184" t="s">
        <v>575</v>
      </c>
    </row>
    <row r="41" spans="1:9" hidden="1">
      <c r="A41" s="43">
        <v>41716</v>
      </c>
      <c r="C41" s="72" t="s">
        <v>368</v>
      </c>
      <c r="D41" s="309" t="s">
        <v>234</v>
      </c>
      <c r="E41" s="309" t="s">
        <v>235</v>
      </c>
      <c r="F41" s="44">
        <v>52.8</v>
      </c>
      <c r="G41" s="40">
        <v>10.029999999999999</v>
      </c>
      <c r="H41" s="41">
        <v>62.83</v>
      </c>
      <c r="I41" s="184" t="s">
        <v>577</v>
      </c>
    </row>
    <row r="42" spans="1:9" hidden="1">
      <c r="A42" s="43">
        <v>41724</v>
      </c>
      <c r="C42" s="72" t="s">
        <v>360</v>
      </c>
      <c r="D42" s="309" t="s">
        <v>291</v>
      </c>
      <c r="E42" s="309" t="s">
        <v>292</v>
      </c>
      <c r="F42" s="44">
        <v>13.2</v>
      </c>
      <c r="G42" s="40">
        <v>2.5099999999999998</v>
      </c>
      <c r="H42" s="41">
        <v>15.71</v>
      </c>
      <c r="I42" s="184" t="s">
        <v>580</v>
      </c>
    </row>
    <row r="43" spans="1:9" hidden="1">
      <c r="A43" s="43">
        <v>41726</v>
      </c>
      <c r="C43" s="72" t="s">
        <v>364</v>
      </c>
      <c r="D43" s="309" t="s">
        <v>245</v>
      </c>
      <c r="E43" s="309" t="s">
        <v>240</v>
      </c>
      <c r="F43" s="44">
        <v>28.32</v>
      </c>
      <c r="G43" s="40">
        <v>5.38</v>
      </c>
      <c r="H43" s="41">
        <v>33.700000000000003</v>
      </c>
      <c r="I43" s="184" t="s">
        <v>592</v>
      </c>
    </row>
    <row r="44" spans="1:9" hidden="1">
      <c r="A44" s="43">
        <v>41729</v>
      </c>
      <c r="C44" s="72" t="s">
        <v>603</v>
      </c>
      <c r="D44" s="309" t="s">
        <v>593</v>
      </c>
      <c r="E44" s="309" t="s">
        <v>594</v>
      </c>
      <c r="F44" s="44">
        <v>15.6</v>
      </c>
      <c r="G44" s="40">
        <v>2.96</v>
      </c>
      <c r="H44" s="41">
        <v>18.559999999999999</v>
      </c>
      <c r="I44" s="184" t="s">
        <v>601</v>
      </c>
    </row>
    <row r="45" spans="1:9" hidden="1">
      <c r="A45" s="43">
        <v>41729</v>
      </c>
      <c r="C45" s="72" t="s">
        <v>609</v>
      </c>
      <c r="D45" s="309" t="s">
        <v>306</v>
      </c>
      <c r="E45" s="309" t="s">
        <v>307</v>
      </c>
      <c r="F45" s="44">
        <v>30.6</v>
      </c>
      <c r="G45" s="40">
        <v>5.81</v>
      </c>
      <c r="H45" s="41">
        <v>36.409999999999997</v>
      </c>
      <c r="I45" s="184" t="s">
        <v>607</v>
      </c>
    </row>
    <row r="46" spans="1:9" hidden="1">
      <c r="A46" s="43">
        <v>41729</v>
      </c>
      <c r="C46" s="72" t="s">
        <v>619</v>
      </c>
      <c r="D46" s="309" t="s">
        <v>611</v>
      </c>
      <c r="E46" s="309" t="s">
        <v>612</v>
      </c>
      <c r="F46" s="44">
        <v>14.4</v>
      </c>
      <c r="G46" s="40">
        <v>2.74</v>
      </c>
      <c r="H46" s="41">
        <v>17.14</v>
      </c>
      <c r="I46" s="184" t="s">
        <v>617</v>
      </c>
    </row>
    <row r="47" spans="1:9" hidden="1">
      <c r="A47" s="43">
        <v>41729</v>
      </c>
      <c r="C47" s="72" t="s">
        <v>377</v>
      </c>
      <c r="D47" s="309" t="s">
        <v>233</v>
      </c>
      <c r="E47" s="309" t="s">
        <v>408</v>
      </c>
      <c r="F47" s="44">
        <v>13.2</v>
      </c>
      <c r="G47" s="40">
        <v>2.5099999999999998</v>
      </c>
      <c r="H47" s="41">
        <v>15.71</v>
      </c>
      <c r="I47" s="184" t="s">
        <v>626</v>
      </c>
    </row>
    <row r="48" spans="1:9" hidden="1">
      <c r="A48" s="43">
        <v>41729</v>
      </c>
      <c r="C48" s="72" t="s">
        <v>638</v>
      </c>
      <c r="D48" s="309" t="s">
        <v>629</v>
      </c>
      <c r="E48" s="309" t="s">
        <v>630</v>
      </c>
      <c r="F48" s="44">
        <v>15.6</v>
      </c>
      <c r="G48" s="40">
        <v>2.96</v>
      </c>
      <c r="H48" s="41">
        <v>18.559999999999999</v>
      </c>
      <c r="I48" s="184" t="s">
        <v>636</v>
      </c>
    </row>
    <row r="49" spans="1:10" hidden="1">
      <c r="A49" s="43">
        <v>41729</v>
      </c>
      <c r="C49" s="72" t="s">
        <v>643</v>
      </c>
      <c r="D49" s="309" t="s">
        <v>254</v>
      </c>
      <c r="E49" s="309" t="s">
        <v>255</v>
      </c>
      <c r="F49" s="44">
        <v>14.16</v>
      </c>
      <c r="G49" s="40">
        <v>2.69</v>
      </c>
      <c r="H49" s="41">
        <v>16.850000000000001</v>
      </c>
      <c r="I49" s="184" t="s">
        <v>641</v>
      </c>
    </row>
    <row r="50" spans="1:10" hidden="1">
      <c r="A50" s="43">
        <v>41731</v>
      </c>
      <c r="C50" s="72" t="s">
        <v>368</v>
      </c>
      <c r="D50" s="309" t="s">
        <v>234</v>
      </c>
      <c r="E50" s="309" t="s">
        <v>235</v>
      </c>
      <c r="F50" s="44">
        <v>26.4</v>
      </c>
      <c r="G50" s="40">
        <v>5.0199999999999996</v>
      </c>
      <c r="H50" s="41">
        <v>31.42</v>
      </c>
      <c r="I50" s="184" t="s">
        <v>647</v>
      </c>
    </row>
    <row r="51" spans="1:10" hidden="1">
      <c r="A51" s="43">
        <v>41753</v>
      </c>
      <c r="C51" s="72" t="s">
        <v>377</v>
      </c>
      <c r="D51" s="309" t="s">
        <v>233</v>
      </c>
      <c r="E51" s="309" t="s">
        <v>408</v>
      </c>
      <c r="F51" s="44">
        <v>70.239999999999995</v>
      </c>
      <c r="G51" s="40">
        <v>13.35</v>
      </c>
      <c r="H51" s="41">
        <v>83.59</v>
      </c>
      <c r="I51" s="184" t="s">
        <v>654</v>
      </c>
    </row>
    <row r="52" spans="1:10" hidden="1">
      <c r="A52" s="43">
        <v>41754</v>
      </c>
      <c r="C52" s="72" t="s">
        <v>417</v>
      </c>
      <c r="D52" s="309" t="s">
        <v>275</v>
      </c>
      <c r="E52" s="309" t="s">
        <v>657</v>
      </c>
      <c r="F52" s="44">
        <v>14.4</v>
      </c>
      <c r="G52" s="40">
        <v>2.74</v>
      </c>
      <c r="H52" s="41">
        <v>17.14</v>
      </c>
      <c r="I52" s="184" t="s">
        <v>662</v>
      </c>
    </row>
    <row r="53" spans="1:10" hidden="1">
      <c r="A53" s="43">
        <v>41754</v>
      </c>
      <c r="C53" s="72" t="s">
        <v>368</v>
      </c>
      <c r="D53" s="309" t="s">
        <v>234</v>
      </c>
      <c r="E53" s="309" t="s">
        <v>235</v>
      </c>
      <c r="F53" s="44">
        <v>13.2</v>
      </c>
      <c r="G53" s="40">
        <v>2.5099999999999998</v>
      </c>
      <c r="H53" s="41">
        <v>15.71</v>
      </c>
      <c r="I53" s="184" t="s">
        <v>665</v>
      </c>
    </row>
    <row r="54" spans="1:10" hidden="1">
      <c r="A54" s="43">
        <v>41800</v>
      </c>
      <c r="C54" s="72" t="s">
        <v>562</v>
      </c>
      <c r="D54" s="309" t="s">
        <v>195</v>
      </c>
      <c r="E54" s="309" t="s">
        <v>196</v>
      </c>
      <c r="F54" s="44">
        <v>13.2</v>
      </c>
      <c r="G54" s="40">
        <v>2.5099999999999998</v>
      </c>
      <c r="H54" s="41">
        <v>15.71</v>
      </c>
      <c r="I54" s="184" t="s">
        <v>671</v>
      </c>
    </row>
    <row r="55" spans="1:10" hidden="1">
      <c r="A55" s="43">
        <v>41803</v>
      </c>
      <c r="C55" s="72" t="s">
        <v>377</v>
      </c>
      <c r="D55" s="309" t="s">
        <v>233</v>
      </c>
      <c r="E55" s="309" t="s">
        <v>408</v>
      </c>
      <c r="F55" s="44">
        <v>163</v>
      </c>
      <c r="G55" s="40">
        <v>30.97</v>
      </c>
      <c r="H55" s="41">
        <v>193.97</v>
      </c>
      <c r="I55" s="184" t="s">
        <v>674</v>
      </c>
    </row>
    <row r="56" spans="1:10" hidden="1">
      <c r="A56" s="43">
        <v>41803</v>
      </c>
      <c r="C56" s="72" t="s">
        <v>481</v>
      </c>
      <c r="D56" s="309" t="s">
        <v>232</v>
      </c>
      <c r="E56" s="309" t="s">
        <v>201</v>
      </c>
      <c r="F56" s="44">
        <v>74.52</v>
      </c>
      <c r="G56" s="40">
        <v>14.16</v>
      </c>
      <c r="H56" s="41">
        <v>88.68</v>
      </c>
      <c r="I56" s="184" t="s">
        <v>677</v>
      </c>
    </row>
    <row r="57" spans="1:10" hidden="1">
      <c r="A57" s="43">
        <v>41804</v>
      </c>
      <c r="C57" s="72" t="s">
        <v>377</v>
      </c>
      <c r="D57" s="309" t="s">
        <v>233</v>
      </c>
      <c r="E57" s="309" t="s">
        <v>408</v>
      </c>
      <c r="F57" s="44">
        <v>17</v>
      </c>
      <c r="G57" s="40">
        <v>3.23</v>
      </c>
      <c r="H57" s="41">
        <v>20.23</v>
      </c>
      <c r="I57" s="184" t="s">
        <v>679</v>
      </c>
    </row>
    <row r="58" spans="1:10" hidden="1">
      <c r="A58" s="43">
        <v>41815</v>
      </c>
      <c r="C58" s="72" t="s">
        <v>638</v>
      </c>
      <c r="D58" s="309" t="s">
        <v>629</v>
      </c>
      <c r="E58" s="309" t="s">
        <v>630</v>
      </c>
      <c r="F58" s="44">
        <v>111.36</v>
      </c>
      <c r="G58" s="40">
        <v>21.16</v>
      </c>
      <c r="H58" s="41">
        <v>132.52000000000001</v>
      </c>
      <c r="I58" s="184" t="s">
        <v>694</v>
      </c>
      <c r="J58" s="43">
        <v>41815</v>
      </c>
    </row>
    <row r="59" spans="1:10" hidden="1">
      <c r="A59" s="43">
        <v>41815</v>
      </c>
      <c r="C59" s="72" t="s">
        <v>603</v>
      </c>
      <c r="D59" s="309" t="s">
        <v>593</v>
      </c>
      <c r="E59" s="309" t="s">
        <v>594</v>
      </c>
      <c r="F59" s="44">
        <v>56.64</v>
      </c>
      <c r="G59" s="40">
        <v>10.76</v>
      </c>
      <c r="H59" s="41">
        <v>67.400000000000006</v>
      </c>
      <c r="I59" s="184" t="s">
        <v>696</v>
      </c>
      <c r="J59" s="43">
        <v>41815</v>
      </c>
    </row>
    <row r="60" spans="1:10" hidden="1">
      <c r="A60" s="43">
        <v>41815</v>
      </c>
      <c r="C60" s="72" t="s">
        <v>368</v>
      </c>
      <c r="D60" s="309" t="s">
        <v>234</v>
      </c>
      <c r="E60" s="309" t="s">
        <v>235</v>
      </c>
      <c r="F60" s="44">
        <v>47.04</v>
      </c>
      <c r="G60" s="40">
        <v>8.94</v>
      </c>
      <c r="H60" s="41">
        <v>55.98</v>
      </c>
      <c r="I60" s="184" t="s">
        <v>698</v>
      </c>
      <c r="J60" s="43">
        <v>41815</v>
      </c>
    </row>
    <row r="61" spans="1:10" hidden="1">
      <c r="A61" s="43">
        <v>41815</v>
      </c>
      <c r="C61" s="72" t="s">
        <v>518</v>
      </c>
      <c r="D61" s="309" t="s">
        <v>269</v>
      </c>
      <c r="E61" s="309" t="s">
        <v>270</v>
      </c>
      <c r="F61" s="44">
        <v>70.8</v>
      </c>
      <c r="G61" s="40">
        <v>13.45</v>
      </c>
      <c r="H61" s="41">
        <v>84.25</v>
      </c>
      <c r="I61" s="184" t="s">
        <v>700</v>
      </c>
      <c r="J61" s="43">
        <v>41815</v>
      </c>
    </row>
    <row r="62" spans="1:10" hidden="1">
      <c r="A62" s="43">
        <v>41815</v>
      </c>
      <c r="C62" s="72" t="s">
        <v>545</v>
      </c>
      <c r="D62" s="309" t="s">
        <v>259</v>
      </c>
      <c r="F62" s="44">
        <v>56.64</v>
      </c>
      <c r="G62" s="40">
        <v>10.76</v>
      </c>
      <c r="H62" s="41">
        <v>67.400000000000006</v>
      </c>
      <c r="I62" s="184" t="s">
        <v>703</v>
      </c>
      <c r="J62" s="43">
        <v>41815</v>
      </c>
    </row>
    <row r="63" spans="1:10" hidden="1">
      <c r="A63" s="43">
        <v>41815</v>
      </c>
      <c r="C63" s="72" t="s">
        <v>377</v>
      </c>
      <c r="D63" s="309" t="s">
        <v>233</v>
      </c>
      <c r="E63" s="309" t="s">
        <v>408</v>
      </c>
      <c r="F63" s="44">
        <v>94.08</v>
      </c>
      <c r="G63" s="40">
        <v>17.88</v>
      </c>
      <c r="H63" s="41">
        <v>111.96</v>
      </c>
      <c r="I63" s="184" t="s">
        <v>705</v>
      </c>
      <c r="J63" s="43">
        <v>41815</v>
      </c>
    </row>
    <row r="64" spans="1:10" hidden="1">
      <c r="A64" s="43">
        <v>41815</v>
      </c>
      <c r="C64" s="72" t="s">
        <v>711</v>
      </c>
      <c r="D64" s="309" t="s">
        <v>222</v>
      </c>
      <c r="E64" s="309" t="s">
        <v>223</v>
      </c>
      <c r="F64" s="44">
        <v>23.52</v>
      </c>
      <c r="G64" s="40">
        <v>4.47</v>
      </c>
      <c r="H64" s="41">
        <v>27.99</v>
      </c>
      <c r="I64" s="184" t="s">
        <v>708</v>
      </c>
      <c r="J64" s="43">
        <v>41815</v>
      </c>
    </row>
    <row r="65" spans="1:10" hidden="1">
      <c r="A65" s="43">
        <v>41816</v>
      </c>
      <c r="C65" s="72" t="s">
        <v>350</v>
      </c>
      <c r="D65" s="309" t="s">
        <v>228</v>
      </c>
      <c r="F65" s="44">
        <v>105.6</v>
      </c>
      <c r="G65" s="40">
        <v>20.059999999999999</v>
      </c>
      <c r="H65" s="41">
        <v>125.66</v>
      </c>
      <c r="I65" s="184" t="s">
        <v>712</v>
      </c>
      <c r="J65" s="43">
        <v>41846</v>
      </c>
    </row>
    <row r="66" spans="1:10" hidden="1">
      <c r="A66" s="43">
        <v>41816</v>
      </c>
      <c r="C66" s="72" t="s">
        <v>364</v>
      </c>
      <c r="D66" s="309" t="s">
        <v>245</v>
      </c>
      <c r="E66" s="309" t="s">
        <v>240</v>
      </c>
      <c r="F66" s="44">
        <v>105.6</v>
      </c>
      <c r="G66" s="40">
        <v>20.059999999999999</v>
      </c>
      <c r="H66" s="41">
        <v>125.66</v>
      </c>
      <c r="I66" s="184" t="s">
        <v>714</v>
      </c>
      <c r="J66" s="43">
        <v>41816</v>
      </c>
    </row>
    <row r="67" spans="1:10" hidden="1">
      <c r="A67" s="43">
        <v>41820</v>
      </c>
      <c r="C67" s="72" t="s">
        <v>572</v>
      </c>
      <c r="D67" s="309" t="s">
        <v>264</v>
      </c>
      <c r="E67" s="309" t="s">
        <v>265</v>
      </c>
      <c r="F67" s="44">
        <v>52.8</v>
      </c>
      <c r="G67" s="40">
        <v>10.029999999999999</v>
      </c>
      <c r="H67" s="41">
        <v>62.83</v>
      </c>
      <c r="I67" s="184" t="s">
        <v>717</v>
      </c>
      <c r="J67" s="43">
        <v>41820</v>
      </c>
    </row>
    <row r="68" spans="1:10" hidden="1">
      <c r="A68" s="43">
        <v>41820</v>
      </c>
      <c r="C68" s="72" t="s">
        <v>723</v>
      </c>
      <c r="D68" s="309" t="s">
        <v>300</v>
      </c>
      <c r="E68" s="309" t="s">
        <v>301</v>
      </c>
      <c r="F68" s="44">
        <v>25.92</v>
      </c>
      <c r="G68" s="40">
        <v>4.92</v>
      </c>
      <c r="H68" s="41">
        <v>30.84</v>
      </c>
      <c r="I68" s="184" t="s">
        <v>719</v>
      </c>
      <c r="J68" s="43">
        <v>41820</v>
      </c>
    </row>
    <row r="69" spans="1:10" hidden="1">
      <c r="A69" s="43">
        <v>41820</v>
      </c>
      <c r="C69" s="72" t="s">
        <v>736</v>
      </c>
      <c r="D69" s="309" t="s">
        <v>724</v>
      </c>
      <c r="E69" s="309" t="s">
        <v>725</v>
      </c>
      <c r="F69" s="44">
        <v>47.04</v>
      </c>
      <c r="G69" s="40">
        <v>8.94</v>
      </c>
      <c r="H69" s="41">
        <v>55.98</v>
      </c>
      <c r="I69" s="184" t="s">
        <v>733</v>
      </c>
      <c r="J69" s="43">
        <v>41820</v>
      </c>
    </row>
    <row r="70" spans="1:10" hidden="1">
      <c r="A70" s="43">
        <v>41821</v>
      </c>
      <c r="C70" s="72" t="s">
        <v>753</v>
      </c>
      <c r="D70" s="309" t="s">
        <v>741</v>
      </c>
      <c r="E70" s="309" t="s">
        <v>742</v>
      </c>
      <c r="F70" s="44">
        <v>26.4</v>
      </c>
      <c r="G70" s="40">
        <v>5.0199999999999996</v>
      </c>
      <c r="H70" s="41">
        <v>31.42</v>
      </c>
      <c r="I70" s="184" t="s">
        <v>750</v>
      </c>
      <c r="J70" s="43">
        <v>41821</v>
      </c>
    </row>
    <row r="71" spans="1:10" hidden="1">
      <c r="A71" s="43">
        <v>41821</v>
      </c>
      <c r="C71" s="72" t="s">
        <v>643</v>
      </c>
      <c r="D71" s="309" t="s">
        <v>254</v>
      </c>
      <c r="E71" s="309" t="s">
        <v>255</v>
      </c>
      <c r="F71" s="44">
        <v>49.92</v>
      </c>
      <c r="G71" s="40">
        <v>9.48</v>
      </c>
      <c r="H71" s="41">
        <v>59.4</v>
      </c>
      <c r="I71" s="184" t="s">
        <v>754</v>
      </c>
      <c r="J71" s="43">
        <v>41821</v>
      </c>
    </row>
    <row r="72" spans="1:10" hidden="1">
      <c r="A72" s="43">
        <v>41822</v>
      </c>
      <c r="C72" s="72" t="s">
        <v>801</v>
      </c>
      <c r="D72" s="309" t="s">
        <v>246</v>
      </c>
      <c r="E72" s="309" t="s">
        <v>247</v>
      </c>
      <c r="F72" s="44">
        <v>13.2</v>
      </c>
      <c r="G72" s="40">
        <v>2.5099999999999998</v>
      </c>
      <c r="H72" s="41">
        <v>15.71</v>
      </c>
      <c r="I72" s="184" t="s">
        <v>798</v>
      </c>
      <c r="J72" s="43">
        <v>41822</v>
      </c>
    </row>
    <row r="73" spans="1:10" hidden="1">
      <c r="A73" s="43">
        <v>41822</v>
      </c>
      <c r="C73" s="72" t="s">
        <v>814</v>
      </c>
      <c r="D73" s="309" t="s">
        <v>805</v>
      </c>
      <c r="E73" s="309" t="s">
        <v>806</v>
      </c>
      <c r="F73" s="44">
        <v>13.2</v>
      </c>
      <c r="G73" s="40">
        <v>2.5099999999999998</v>
      </c>
      <c r="H73" s="41">
        <v>15.71</v>
      </c>
      <c r="I73" s="184" t="s">
        <v>811</v>
      </c>
      <c r="J73" s="43">
        <v>41822</v>
      </c>
    </row>
    <row r="74" spans="1:10" hidden="1">
      <c r="A74" s="43">
        <v>41823</v>
      </c>
      <c r="C74" s="72" t="s">
        <v>836</v>
      </c>
      <c r="D74" s="309" t="s">
        <v>827</v>
      </c>
      <c r="E74" s="309" t="s">
        <v>828</v>
      </c>
      <c r="F74" s="44">
        <v>23.52</v>
      </c>
      <c r="G74" s="40">
        <v>4.47</v>
      </c>
      <c r="H74" s="41">
        <v>27.99</v>
      </c>
      <c r="I74" s="184" t="s">
        <v>833</v>
      </c>
      <c r="J74" s="43">
        <v>41823</v>
      </c>
    </row>
    <row r="75" spans="1:10" hidden="1">
      <c r="A75" s="43">
        <v>41824</v>
      </c>
      <c r="C75" s="72" t="s">
        <v>846</v>
      </c>
      <c r="D75" s="309" t="s">
        <v>837</v>
      </c>
      <c r="E75" s="309" t="s">
        <v>838</v>
      </c>
      <c r="F75" s="44">
        <v>11.76</v>
      </c>
      <c r="G75" s="40">
        <v>2.23</v>
      </c>
      <c r="H75" s="41">
        <v>13.99</v>
      </c>
      <c r="I75" s="184" t="s">
        <v>843</v>
      </c>
      <c r="J75" s="43">
        <v>41824</v>
      </c>
    </row>
    <row r="76" spans="1:10" hidden="1">
      <c r="A76" s="43">
        <v>41824</v>
      </c>
      <c r="C76" s="72" t="s">
        <v>852</v>
      </c>
      <c r="D76" s="309" t="s">
        <v>817</v>
      </c>
      <c r="E76" s="309" t="s">
        <v>818</v>
      </c>
      <c r="F76" s="44">
        <v>94.08</v>
      </c>
      <c r="G76" s="40">
        <v>17.88</v>
      </c>
      <c r="H76" s="41">
        <v>111.96</v>
      </c>
      <c r="I76" s="184" t="s">
        <v>849</v>
      </c>
      <c r="J76" s="43">
        <v>41824</v>
      </c>
    </row>
    <row r="77" spans="1:10" hidden="1">
      <c r="A77" s="43">
        <v>41827</v>
      </c>
      <c r="C77" s="72" t="s">
        <v>867</v>
      </c>
      <c r="D77" s="309" t="s">
        <v>853</v>
      </c>
      <c r="E77" s="309" t="s">
        <v>854</v>
      </c>
      <c r="F77" s="44">
        <v>99.84</v>
      </c>
      <c r="G77" s="40">
        <v>18.97</v>
      </c>
      <c r="H77" s="41">
        <v>118.81</v>
      </c>
      <c r="I77" s="184" t="s">
        <v>863</v>
      </c>
      <c r="J77" s="43">
        <v>41827</v>
      </c>
    </row>
    <row r="78" spans="1:10" hidden="1">
      <c r="A78" s="43">
        <v>41827</v>
      </c>
      <c r="C78" s="72" t="s">
        <v>879</v>
      </c>
      <c r="D78" s="309" t="s">
        <v>868</v>
      </c>
      <c r="E78" s="309" t="s">
        <v>869</v>
      </c>
      <c r="F78" s="44">
        <v>47.04</v>
      </c>
      <c r="G78" s="40">
        <v>8.94</v>
      </c>
      <c r="H78" s="41">
        <v>55.98</v>
      </c>
      <c r="I78" s="184" t="s">
        <v>876</v>
      </c>
      <c r="J78" s="43">
        <v>41827</v>
      </c>
    </row>
    <row r="79" spans="1:10" hidden="1">
      <c r="A79" s="43">
        <v>41827</v>
      </c>
      <c r="C79" s="72" t="s">
        <v>901</v>
      </c>
      <c r="D79" s="309" t="s">
        <v>767</v>
      </c>
      <c r="E79" s="309" t="s">
        <v>768</v>
      </c>
      <c r="F79" s="44">
        <v>47.04</v>
      </c>
      <c r="G79" s="40">
        <v>8.94</v>
      </c>
      <c r="H79" s="41">
        <v>55.98</v>
      </c>
      <c r="I79" s="184" t="s">
        <v>898</v>
      </c>
      <c r="J79" s="43">
        <v>41827</v>
      </c>
    </row>
    <row r="80" spans="1:10" hidden="1">
      <c r="A80" s="43">
        <v>41829</v>
      </c>
      <c r="C80" s="72" t="s">
        <v>941</v>
      </c>
      <c r="D80" s="309" t="s">
        <v>931</v>
      </c>
      <c r="E80" s="309" t="s">
        <v>932</v>
      </c>
      <c r="F80" s="44">
        <v>11.76</v>
      </c>
      <c r="G80" s="40">
        <v>2.23</v>
      </c>
      <c r="H80" s="41">
        <v>13.99</v>
      </c>
      <c r="I80" s="184" t="s">
        <v>938</v>
      </c>
      <c r="J80" s="43">
        <v>41829</v>
      </c>
    </row>
    <row r="81" spans="1:10" hidden="1">
      <c r="A81" s="43">
        <v>41829</v>
      </c>
      <c r="C81" s="72" t="s">
        <v>801</v>
      </c>
      <c r="D81" s="309" t="s">
        <v>246</v>
      </c>
      <c r="E81" s="309" t="s">
        <v>247</v>
      </c>
      <c r="F81" s="44">
        <v>35.28</v>
      </c>
      <c r="G81" s="40">
        <v>6.7</v>
      </c>
      <c r="H81" s="41">
        <v>41.98</v>
      </c>
      <c r="I81" s="184" t="s">
        <v>942</v>
      </c>
      <c r="J81" s="43">
        <v>41829</v>
      </c>
    </row>
    <row r="82" spans="1:10" hidden="1">
      <c r="A82" s="43">
        <v>41834</v>
      </c>
      <c r="C82" s="72" t="s">
        <v>973</v>
      </c>
      <c r="D82" s="309" t="s">
        <v>823</v>
      </c>
      <c r="E82" s="309" t="s">
        <v>824</v>
      </c>
      <c r="F82" s="44">
        <v>11.76</v>
      </c>
      <c r="G82" s="40">
        <v>2.23</v>
      </c>
      <c r="H82" s="41">
        <v>13.99</v>
      </c>
      <c r="I82" s="184" t="s">
        <v>970</v>
      </c>
      <c r="J82" s="43">
        <v>41834</v>
      </c>
    </row>
    <row r="83" spans="1:10" hidden="1">
      <c r="A83" s="43">
        <v>41834</v>
      </c>
      <c r="C83" s="72" t="s">
        <v>977</v>
      </c>
      <c r="D83" s="309" t="s">
        <v>965</v>
      </c>
      <c r="E83" s="309" t="s">
        <v>896</v>
      </c>
      <c r="F83" s="44">
        <v>11.76</v>
      </c>
      <c r="G83" s="40">
        <v>2.23</v>
      </c>
      <c r="H83" s="41">
        <v>13.99</v>
      </c>
      <c r="I83" s="184" t="s">
        <v>974</v>
      </c>
      <c r="J83" s="43">
        <v>41834</v>
      </c>
    </row>
    <row r="84" spans="1:10" hidden="1">
      <c r="A84" s="43">
        <v>41835</v>
      </c>
      <c r="C84" s="72" t="s">
        <v>360</v>
      </c>
      <c r="D84" s="309" t="s">
        <v>291</v>
      </c>
      <c r="E84" s="309" t="s">
        <v>292</v>
      </c>
      <c r="F84" s="44">
        <v>23.52</v>
      </c>
      <c r="G84" s="40">
        <v>4.47</v>
      </c>
      <c r="H84" s="41">
        <v>27.99</v>
      </c>
      <c r="I84" s="184" t="s">
        <v>980</v>
      </c>
      <c r="J84" s="43">
        <v>41835</v>
      </c>
    </row>
    <row r="85" spans="1:10" hidden="1">
      <c r="A85" s="43">
        <v>41835</v>
      </c>
      <c r="C85" s="72" t="s">
        <v>989</v>
      </c>
      <c r="D85" s="309" t="s">
        <v>982</v>
      </c>
      <c r="E85" s="309" t="s">
        <v>983</v>
      </c>
      <c r="F85" s="44">
        <v>52.8</v>
      </c>
      <c r="G85" s="40">
        <v>10.029999999999999</v>
      </c>
      <c r="H85" s="41">
        <v>62.83</v>
      </c>
      <c r="I85" s="184" t="s">
        <v>986</v>
      </c>
      <c r="J85" s="43">
        <v>41835</v>
      </c>
    </row>
    <row r="86" spans="1:10" hidden="1">
      <c r="A86" s="43">
        <v>41835</v>
      </c>
      <c r="C86" s="72" t="s">
        <v>1208</v>
      </c>
      <c r="D86" s="309" t="s">
        <v>990</v>
      </c>
      <c r="E86" s="309" t="s">
        <v>991</v>
      </c>
      <c r="F86" s="44">
        <v>13.2</v>
      </c>
      <c r="G86" s="40">
        <v>2.5099999999999998</v>
      </c>
      <c r="H86" s="41">
        <v>15.71</v>
      </c>
      <c r="I86" s="184" t="s">
        <v>998</v>
      </c>
      <c r="J86" s="43">
        <v>41835</v>
      </c>
    </row>
    <row r="87" spans="1:10" hidden="1">
      <c r="A87" s="43">
        <v>41835</v>
      </c>
      <c r="C87" s="72" t="s">
        <v>1016</v>
      </c>
      <c r="D87" s="309" t="s">
        <v>1002</v>
      </c>
      <c r="E87" s="309" t="s">
        <v>1003</v>
      </c>
      <c r="F87" s="44">
        <v>23.52</v>
      </c>
      <c r="G87" s="40">
        <v>4.47</v>
      </c>
      <c r="H87" s="41">
        <v>27.99</v>
      </c>
      <c r="I87" s="184" t="s">
        <v>1013</v>
      </c>
      <c r="J87" s="43">
        <v>41835</v>
      </c>
    </row>
    <row r="88" spans="1:10" hidden="1">
      <c r="A88" s="43">
        <v>41835</v>
      </c>
      <c r="C88" s="72" t="s">
        <v>1031</v>
      </c>
      <c r="D88" s="309" t="s">
        <v>1020</v>
      </c>
      <c r="E88" s="309" t="s">
        <v>1021</v>
      </c>
      <c r="F88" s="44">
        <v>47.04</v>
      </c>
      <c r="G88" s="40">
        <v>8.94</v>
      </c>
      <c r="H88" s="41">
        <v>55.98</v>
      </c>
      <c r="I88" s="184" t="s">
        <v>1028</v>
      </c>
      <c r="J88" s="43">
        <v>41835</v>
      </c>
    </row>
    <row r="89" spans="1:10" hidden="1">
      <c r="A89" s="43">
        <v>41837</v>
      </c>
      <c r="C89" s="72" t="s">
        <v>1044</v>
      </c>
      <c r="D89" s="309" t="s">
        <v>1032</v>
      </c>
      <c r="E89" s="309" t="s">
        <v>1033</v>
      </c>
      <c r="F89" s="44">
        <v>35.28</v>
      </c>
      <c r="G89" s="40">
        <v>6.7</v>
      </c>
      <c r="H89" s="41">
        <v>41.98</v>
      </c>
      <c r="I89" s="184" t="s">
        <v>1041</v>
      </c>
      <c r="J89" s="43">
        <v>41837</v>
      </c>
    </row>
    <row r="90" spans="1:10" hidden="1">
      <c r="A90" s="43">
        <v>41837</v>
      </c>
      <c r="C90" s="72" t="s">
        <v>603</v>
      </c>
      <c r="D90" s="309" t="s">
        <v>593</v>
      </c>
      <c r="E90" s="309" t="s">
        <v>594</v>
      </c>
      <c r="F90" s="44">
        <v>52.8</v>
      </c>
      <c r="G90" s="40">
        <v>10.029999999999999</v>
      </c>
      <c r="H90" s="41">
        <v>62.83</v>
      </c>
      <c r="I90" s="184" t="s">
        <v>1045</v>
      </c>
      <c r="J90" s="43">
        <v>41837</v>
      </c>
    </row>
    <row r="91" spans="1:10" hidden="1">
      <c r="A91" s="43">
        <v>41837</v>
      </c>
      <c r="C91" s="72" t="s">
        <v>1058</v>
      </c>
      <c r="D91" s="309" t="s">
        <v>1047</v>
      </c>
      <c r="E91" s="309" t="s">
        <v>1048</v>
      </c>
      <c r="F91" s="44">
        <v>35.28</v>
      </c>
      <c r="G91" s="40">
        <v>6.7</v>
      </c>
      <c r="H91" s="41">
        <v>41.98</v>
      </c>
      <c r="I91" s="184" t="s">
        <v>1055</v>
      </c>
      <c r="J91" s="43">
        <v>41837</v>
      </c>
    </row>
    <row r="92" spans="1:10" hidden="1">
      <c r="A92" s="43">
        <v>41841</v>
      </c>
      <c r="C92" s="72" t="s">
        <v>1071</v>
      </c>
      <c r="D92" s="309" t="s">
        <v>1063</v>
      </c>
      <c r="E92" s="309" t="s">
        <v>956</v>
      </c>
      <c r="F92" s="44">
        <v>13.2</v>
      </c>
      <c r="G92" s="40">
        <v>2.5099999999999998</v>
      </c>
      <c r="H92" s="41">
        <v>15.71</v>
      </c>
      <c r="I92" s="184" t="s">
        <v>1068</v>
      </c>
      <c r="J92" s="43">
        <v>41841</v>
      </c>
    </row>
    <row r="93" spans="1:10" hidden="1">
      <c r="A93" s="43">
        <v>41841</v>
      </c>
      <c r="C93" s="72" t="s">
        <v>372</v>
      </c>
      <c r="D93" s="309" t="s">
        <v>296</v>
      </c>
      <c r="E93" s="309" t="s">
        <v>297</v>
      </c>
      <c r="F93" s="44">
        <v>14.16</v>
      </c>
      <c r="G93" s="40">
        <v>2.69</v>
      </c>
      <c r="H93" s="41">
        <v>16.850000000000001</v>
      </c>
      <c r="I93" s="184" t="s">
        <v>1073</v>
      </c>
      <c r="J93" s="43">
        <v>41841</v>
      </c>
    </row>
    <row r="94" spans="1:10" hidden="1">
      <c r="A94" s="43">
        <v>41841</v>
      </c>
      <c r="C94" s="72" t="s">
        <v>801</v>
      </c>
      <c r="D94" s="309" t="s">
        <v>246</v>
      </c>
      <c r="E94" s="309" t="s">
        <v>247</v>
      </c>
      <c r="F94" s="44">
        <v>23.52</v>
      </c>
      <c r="G94" s="40">
        <v>4.47</v>
      </c>
      <c r="H94" s="41">
        <v>27.99</v>
      </c>
      <c r="I94" s="184" t="s">
        <v>1077</v>
      </c>
      <c r="J94" s="43">
        <v>41841</v>
      </c>
    </row>
    <row r="95" spans="1:10" hidden="1">
      <c r="A95" s="43">
        <v>41841</v>
      </c>
      <c r="C95" s="72" t="s">
        <v>941</v>
      </c>
      <c r="D95" s="309" t="s">
        <v>931</v>
      </c>
      <c r="E95" s="309" t="s">
        <v>932</v>
      </c>
      <c r="F95" s="44">
        <v>26.4</v>
      </c>
      <c r="G95" s="40">
        <v>5.0199999999999996</v>
      </c>
      <c r="H95" s="41">
        <v>31.42</v>
      </c>
      <c r="I95" s="184" t="s">
        <v>1080</v>
      </c>
      <c r="J95" s="43">
        <v>41841</v>
      </c>
    </row>
    <row r="96" spans="1:10" hidden="1">
      <c r="A96" s="43">
        <v>41843</v>
      </c>
      <c r="C96" s="72" t="s">
        <v>1098</v>
      </c>
      <c r="D96" s="309" t="s">
        <v>1089</v>
      </c>
      <c r="E96" s="309" t="s">
        <v>1090</v>
      </c>
      <c r="F96" s="44">
        <v>52.8</v>
      </c>
      <c r="G96" s="40">
        <v>10.029999999999999</v>
      </c>
      <c r="H96" s="41">
        <v>62.83</v>
      </c>
      <c r="I96" s="184" t="s">
        <v>1095</v>
      </c>
      <c r="J96" s="43">
        <v>41843</v>
      </c>
    </row>
    <row r="97" spans="1:10" hidden="1">
      <c r="A97" s="43">
        <v>41843</v>
      </c>
      <c r="C97" s="72" t="s">
        <v>852</v>
      </c>
      <c r="D97" s="309" t="s">
        <v>817</v>
      </c>
      <c r="E97" s="309" t="s">
        <v>818</v>
      </c>
      <c r="F97" s="44">
        <v>47.04</v>
      </c>
      <c r="G97" s="40">
        <v>8.94</v>
      </c>
      <c r="H97" s="41">
        <v>55.98</v>
      </c>
      <c r="I97" s="184" t="s">
        <v>1099</v>
      </c>
      <c r="J97" s="43">
        <v>41843</v>
      </c>
    </row>
    <row r="98" spans="1:10" hidden="1">
      <c r="A98" s="43">
        <v>41843</v>
      </c>
      <c r="C98" s="72" t="s">
        <v>1112</v>
      </c>
      <c r="D98" s="309" t="s">
        <v>1101</v>
      </c>
      <c r="E98" s="309" t="s">
        <v>1102</v>
      </c>
      <c r="F98" s="44">
        <v>26.4</v>
      </c>
      <c r="G98" s="40">
        <v>5.0199999999999996</v>
      </c>
      <c r="H98" s="41">
        <v>31.42</v>
      </c>
      <c r="I98" s="184" t="s">
        <v>1108</v>
      </c>
      <c r="J98" s="43">
        <v>41843</v>
      </c>
    </row>
    <row r="99" spans="1:10" hidden="1">
      <c r="A99" s="43">
        <v>41843</v>
      </c>
      <c r="C99" s="72" t="s">
        <v>1116</v>
      </c>
      <c r="D99" s="309" t="s">
        <v>1084</v>
      </c>
      <c r="E99" s="309" t="s">
        <v>1083</v>
      </c>
      <c r="F99" s="44">
        <v>47.04</v>
      </c>
      <c r="G99" s="40">
        <v>8.94</v>
      </c>
      <c r="H99" s="41">
        <v>55.98</v>
      </c>
      <c r="I99" s="184" t="s">
        <v>1113</v>
      </c>
      <c r="J99" s="43">
        <v>41843</v>
      </c>
    </row>
    <row r="100" spans="1:10" hidden="1">
      <c r="A100" s="43">
        <v>41848</v>
      </c>
      <c r="C100" s="72" t="s">
        <v>1146</v>
      </c>
      <c r="D100" s="309" t="s">
        <v>1140</v>
      </c>
      <c r="E100" s="309" t="s">
        <v>1124</v>
      </c>
      <c r="F100" s="44">
        <v>47.04</v>
      </c>
      <c r="G100" s="40">
        <v>8.94</v>
      </c>
      <c r="H100" s="41">
        <v>55.98</v>
      </c>
      <c r="I100" s="184" t="s">
        <v>1143</v>
      </c>
      <c r="J100" s="43">
        <v>41848</v>
      </c>
    </row>
    <row r="101" spans="1:10" hidden="1">
      <c r="A101" s="43">
        <v>41848</v>
      </c>
      <c r="C101" s="72" t="s">
        <v>518</v>
      </c>
      <c r="D101" s="309" t="s">
        <v>269</v>
      </c>
      <c r="E101" s="309" t="s">
        <v>270</v>
      </c>
      <c r="F101" s="44">
        <v>56.64</v>
      </c>
      <c r="G101" s="40">
        <v>10.76</v>
      </c>
      <c r="H101" s="41">
        <v>67.400000000000006</v>
      </c>
      <c r="I101" s="184" t="s">
        <v>1147</v>
      </c>
      <c r="J101" s="43">
        <v>41848</v>
      </c>
    </row>
    <row r="102" spans="1:10" hidden="1">
      <c r="A102" s="43">
        <v>41848</v>
      </c>
      <c r="C102" s="72" t="s">
        <v>1044</v>
      </c>
      <c r="D102" s="309" t="s">
        <v>1032</v>
      </c>
      <c r="E102" s="309" t="s">
        <v>1033</v>
      </c>
      <c r="F102" s="44">
        <v>23.52</v>
      </c>
      <c r="G102" s="40">
        <v>4.47</v>
      </c>
      <c r="H102" s="41">
        <v>27.99</v>
      </c>
      <c r="I102" s="184" t="s">
        <v>1150</v>
      </c>
      <c r="J102" s="43">
        <v>41848</v>
      </c>
    </row>
    <row r="103" spans="1:10" hidden="1">
      <c r="A103" s="43">
        <v>41849</v>
      </c>
      <c r="C103" s="72" t="s">
        <v>1165</v>
      </c>
      <c r="D103" s="309" t="s">
        <v>1160</v>
      </c>
      <c r="F103" s="44">
        <v>244.8</v>
      </c>
      <c r="G103" s="40">
        <v>46.51</v>
      </c>
      <c r="H103" s="41">
        <v>291.31</v>
      </c>
      <c r="I103" s="184" t="s">
        <v>1161</v>
      </c>
      <c r="J103" s="43">
        <v>41849</v>
      </c>
    </row>
    <row r="104" spans="1:10" hidden="1">
      <c r="A104" s="43">
        <v>41851</v>
      </c>
      <c r="C104" s="72" t="s">
        <v>1186</v>
      </c>
      <c r="D104" s="309" t="s">
        <v>1172</v>
      </c>
      <c r="E104" s="309" t="s">
        <v>1173</v>
      </c>
      <c r="F104" s="44">
        <v>52.8</v>
      </c>
      <c r="G104" s="40">
        <v>10.029999999999999</v>
      </c>
      <c r="H104" s="41">
        <v>62.83</v>
      </c>
      <c r="I104" s="184" t="s">
        <v>1183</v>
      </c>
      <c r="J104" s="43">
        <v>41851</v>
      </c>
    </row>
    <row r="105" spans="1:10" hidden="1">
      <c r="A105" s="43">
        <v>41851</v>
      </c>
      <c r="C105" s="72" t="s">
        <v>1198</v>
      </c>
      <c r="D105" s="309" t="s">
        <v>1187</v>
      </c>
      <c r="E105" s="309" t="s">
        <v>1188</v>
      </c>
      <c r="F105" s="44">
        <v>52.8</v>
      </c>
      <c r="G105" s="40">
        <v>10.029999999999999</v>
      </c>
      <c r="H105" s="41">
        <v>62.83</v>
      </c>
      <c r="I105" s="184" t="s">
        <v>1195</v>
      </c>
      <c r="J105" s="43">
        <v>41851</v>
      </c>
    </row>
    <row r="106" spans="1:10" hidden="1">
      <c r="A106" s="43">
        <v>41851</v>
      </c>
      <c r="C106" s="72" t="s">
        <v>1207</v>
      </c>
      <c r="D106" s="309" t="s">
        <v>1199</v>
      </c>
      <c r="E106" s="309" t="s">
        <v>777</v>
      </c>
      <c r="F106" s="44">
        <v>52.8</v>
      </c>
      <c r="G106" s="40">
        <v>10.029999999999999</v>
      </c>
      <c r="H106" s="41">
        <v>62.83</v>
      </c>
      <c r="I106" s="184" t="s">
        <v>1204</v>
      </c>
      <c r="J106" s="43">
        <v>41851</v>
      </c>
    </row>
    <row r="107" spans="1:10" hidden="1">
      <c r="A107" s="43">
        <v>41851</v>
      </c>
      <c r="C107" s="72" t="s">
        <v>1001</v>
      </c>
      <c r="D107" s="309" t="s">
        <v>1210</v>
      </c>
      <c r="E107" s="309" t="s">
        <v>1209</v>
      </c>
      <c r="F107" s="44">
        <v>23.52</v>
      </c>
      <c r="G107" s="40">
        <v>4.47</v>
      </c>
      <c r="H107" s="41">
        <v>27.99</v>
      </c>
      <c r="I107" s="184" t="s">
        <v>1219</v>
      </c>
      <c r="J107" s="43">
        <v>41851</v>
      </c>
    </row>
    <row r="108" spans="1:10" hidden="1">
      <c r="A108" s="43">
        <v>41851</v>
      </c>
      <c r="C108" s="72" t="s">
        <v>723</v>
      </c>
      <c r="D108" s="309" t="s">
        <v>300</v>
      </c>
      <c r="E108" s="309" t="s">
        <v>301</v>
      </c>
      <c r="F108" s="44">
        <v>23.52</v>
      </c>
      <c r="G108" s="40">
        <v>4.47</v>
      </c>
      <c r="H108" s="41">
        <v>27.99</v>
      </c>
      <c r="I108" s="184" t="s">
        <v>1222</v>
      </c>
      <c r="J108" s="43">
        <v>41851</v>
      </c>
    </row>
  </sheetData>
  <autoFilter ref="A9:A108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3:G3"/>
    <mergeCell ref="F4:G4"/>
    <mergeCell ref="F5:G5"/>
    <mergeCell ref="E2:G2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3" filterMode="1"/>
  <dimension ref="A1:M29"/>
  <sheetViews>
    <sheetView topLeftCell="A7" workbookViewId="0">
      <selection activeCell="M16" sqref="M16"/>
    </sheetView>
  </sheetViews>
  <sheetFormatPr baseColWidth="10" defaultRowHeight="15"/>
  <cols>
    <col min="1" max="1" width="11.28515625" style="105" customWidth="1"/>
    <col min="2" max="2" width="1.28515625" style="105" customWidth="1"/>
    <col min="3" max="3" width="51.42578125" style="315" customWidth="1"/>
    <col min="4" max="4" width="11" style="108" customWidth="1"/>
    <col min="5" max="5" width="3.85546875" style="99" customWidth="1"/>
    <col min="6" max="6" width="10.85546875" style="100" customWidth="1"/>
    <col min="7" max="7" width="10.28515625" style="101" customWidth="1"/>
    <col min="8" max="8" width="15" style="222" bestFit="1" customWidth="1"/>
    <col min="9" max="9" width="8.28515625" style="106" customWidth="1"/>
    <col min="10" max="10" width="13.140625" style="289" customWidth="1"/>
    <col min="11" max="11" width="3.140625" customWidth="1"/>
  </cols>
  <sheetData>
    <row r="1" spans="1:13" s="35" customFormat="1" ht="20.25">
      <c r="A1" s="156" t="s">
        <v>690</v>
      </c>
      <c r="B1" s="155"/>
      <c r="C1" s="312"/>
      <c r="D1" s="153"/>
      <c r="E1" s="158"/>
      <c r="F1" s="153"/>
      <c r="G1" s="154"/>
      <c r="H1" s="218"/>
      <c r="I1" s="159"/>
    </row>
    <row r="2" spans="1:13" s="35" customFormat="1" ht="20.25">
      <c r="A2" s="335" t="s">
        <v>1235</v>
      </c>
      <c r="B2" s="341"/>
      <c r="C2" s="341"/>
      <c r="D2" s="341"/>
      <c r="E2" s="158"/>
      <c r="H2" s="218"/>
      <c r="I2" s="159"/>
    </row>
    <row r="3" spans="1:13" s="35" customFormat="1" ht="20.25">
      <c r="A3" s="160"/>
      <c r="B3" s="155"/>
      <c r="C3" s="312"/>
      <c r="D3" s="339" t="s">
        <v>190</v>
      </c>
      <c r="E3" s="340"/>
      <c r="F3" s="340"/>
      <c r="G3" s="202"/>
      <c r="H3" s="218"/>
      <c r="I3" s="159"/>
    </row>
    <row r="4" spans="1:13" s="35" customFormat="1" ht="18.75">
      <c r="A4" s="160"/>
      <c r="B4" s="155"/>
      <c r="C4" s="312"/>
      <c r="D4" s="200"/>
      <c r="E4" s="199" t="s">
        <v>191</v>
      </c>
      <c r="F4" s="338">
        <f>SUBTOTAL(9,F10:F64615)</f>
        <v>0</v>
      </c>
      <c r="G4" s="338"/>
      <c r="H4" s="218"/>
      <c r="I4" s="159"/>
    </row>
    <row r="5" spans="1:13" s="35" customFormat="1" ht="18.75">
      <c r="A5" s="160"/>
      <c r="B5" s="155"/>
      <c r="C5" s="312"/>
      <c r="D5" s="200"/>
      <c r="E5" s="199" t="s">
        <v>188</v>
      </c>
      <c r="F5" s="338">
        <f>SUBTOTAL(9,G10:G64615)</f>
        <v>0</v>
      </c>
      <c r="G5" s="338"/>
      <c r="H5" s="218"/>
      <c r="I5" s="159"/>
    </row>
    <row r="6" spans="1:13" s="35" customFormat="1" ht="18.75">
      <c r="A6" s="160"/>
      <c r="B6" s="155"/>
      <c r="C6" s="313"/>
      <c r="D6" s="201"/>
      <c r="E6" s="199" t="s">
        <v>187</v>
      </c>
      <c r="F6" s="338">
        <f>SUBTOTAL(9,D10:D64615)</f>
        <v>0</v>
      </c>
      <c r="G6" s="338"/>
      <c r="H6" s="218"/>
      <c r="I6" s="159"/>
      <c r="J6" s="36"/>
      <c r="K6" s="37"/>
      <c r="L6" s="36"/>
      <c r="M6"/>
    </row>
    <row r="7" spans="1:13" s="157" customFormat="1">
      <c r="B7" s="155"/>
      <c r="C7" s="312"/>
      <c r="H7" s="219"/>
    </row>
    <row r="8" spans="1:13" ht="15.75" thickBot="1">
      <c r="A8" s="160"/>
      <c r="B8" s="155"/>
      <c r="C8" s="312"/>
      <c r="D8" s="153"/>
      <c r="E8" s="158"/>
      <c r="F8" s="153"/>
      <c r="G8" s="154"/>
      <c r="H8" s="218"/>
      <c r="I8" s="159"/>
      <c r="J8"/>
    </row>
    <row r="9" spans="1:13" s="180" customFormat="1" ht="30.75" customHeight="1" thickBot="1">
      <c r="A9" s="288" t="s">
        <v>926</v>
      </c>
      <c r="B9" s="186"/>
      <c r="C9" s="187" t="s">
        <v>69</v>
      </c>
      <c r="D9" s="188" t="s">
        <v>78</v>
      </c>
      <c r="E9" s="189" t="s">
        <v>79</v>
      </c>
      <c r="F9" s="190" t="s">
        <v>80</v>
      </c>
      <c r="G9" s="191" t="s">
        <v>81</v>
      </c>
      <c r="H9" s="220" t="s">
        <v>183</v>
      </c>
      <c r="I9" s="192" t="s">
        <v>184</v>
      </c>
      <c r="J9" s="192" t="s">
        <v>927</v>
      </c>
    </row>
    <row r="10" spans="1:13" s="104" customFormat="1" hidden="1">
      <c r="A10" s="98">
        <v>41646</v>
      </c>
      <c r="B10" s="98"/>
      <c r="C10" s="314" t="s">
        <v>212</v>
      </c>
      <c r="D10" s="197">
        <v>180</v>
      </c>
      <c r="E10" s="99">
        <v>19</v>
      </c>
      <c r="F10" s="198">
        <v>151.26050420168067</v>
      </c>
      <c r="G10" s="101">
        <v>28.739495798319325</v>
      </c>
      <c r="H10" s="221">
        <v>5144</v>
      </c>
      <c r="I10" s="102">
        <v>1</v>
      </c>
      <c r="J10" s="289">
        <v>41646</v>
      </c>
      <c r="K10" s="103"/>
    </row>
    <row r="11" spans="1:13" s="104" customFormat="1" hidden="1">
      <c r="A11" s="105">
        <v>41659</v>
      </c>
      <c r="B11" s="105"/>
      <c r="C11" s="315" t="s">
        <v>380</v>
      </c>
      <c r="D11" s="108">
        <v>1414.4</v>
      </c>
      <c r="E11" s="99">
        <v>19</v>
      </c>
      <c r="F11" s="100">
        <v>1188.5714285714287</v>
      </c>
      <c r="G11" s="101">
        <v>225.82857142857142</v>
      </c>
      <c r="H11" s="222">
        <v>104297</v>
      </c>
      <c r="I11" s="106">
        <v>2</v>
      </c>
      <c r="J11" s="289">
        <v>41659</v>
      </c>
      <c r="K11" s="103"/>
      <c r="L11" s="107"/>
    </row>
    <row r="12" spans="1:13" s="104" customFormat="1" hidden="1">
      <c r="A12" s="105">
        <v>41660</v>
      </c>
      <c r="B12" s="105"/>
      <c r="C12" s="315" t="s">
        <v>212</v>
      </c>
      <c r="D12" s="108">
        <v>60</v>
      </c>
      <c r="E12" s="99">
        <v>19</v>
      </c>
      <c r="F12" s="100">
        <v>50.420168067226889</v>
      </c>
      <c r="G12" s="101">
        <v>9.5798319327731107</v>
      </c>
      <c r="H12" s="222">
        <v>5775</v>
      </c>
      <c r="I12" s="106">
        <v>3</v>
      </c>
      <c r="J12" s="289">
        <v>41660</v>
      </c>
      <c r="K12" s="103"/>
      <c r="L12" s="107"/>
    </row>
    <row r="13" spans="1:13" s="104" customFormat="1" hidden="1">
      <c r="A13" s="105">
        <v>41669</v>
      </c>
      <c r="B13" s="105"/>
      <c r="C13" s="315" t="s">
        <v>212</v>
      </c>
      <c r="D13" s="108">
        <v>180</v>
      </c>
      <c r="E13" s="99">
        <v>19</v>
      </c>
      <c r="F13" s="100">
        <v>151.26050420168067</v>
      </c>
      <c r="G13" s="101">
        <v>28.739495798319325</v>
      </c>
      <c r="H13" s="222">
        <v>5919</v>
      </c>
      <c r="I13" s="106">
        <v>4</v>
      </c>
      <c r="J13" s="289">
        <v>41669</v>
      </c>
      <c r="K13" s="103"/>
    </row>
    <row r="14" spans="1:13" s="104" customFormat="1" hidden="1">
      <c r="A14" s="105">
        <v>41669</v>
      </c>
      <c r="B14" s="105"/>
      <c r="C14" s="315" t="s">
        <v>404</v>
      </c>
      <c r="D14" s="108">
        <v>5.99</v>
      </c>
      <c r="E14" s="99">
        <v>19</v>
      </c>
      <c r="F14" s="100">
        <v>5.0336134453781511</v>
      </c>
      <c r="G14" s="101">
        <v>0.95638655462184907</v>
      </c>
      <c r="H14" s="222">
        <v>66069963</v>
      </c>
      <c r="I14" s="106">
        <v>5</v>
      </c>
      <c r="J14" s="289">
        <v>41669</v>
      </c>
      <c r="K14" s="103"/>
    </row>
    <row r="15" spans="1:13" s="104" customFormat="1" hidden="1">
      <c r="A15" s="105">
        <v>41673</v>
      </c>
      <c r="B15" s="105"/>
      <c r="C15" s="315" t="s">
        <v>446</v>
      </c>
      <c r="D15" s="108">
        <v>5.9</v>
      </c>
      <c r="E15" s="99">
        <v>19</v>
      </c>
      <c r="F15" s="100">
        <v>4.9579831932773111</v>
      </c>
      <c r="G15" s="101">
        <v>0.94201680672268928</v>
      </c>
      <c r="H15" s="222" t="s">
        <v>447</v>
      </c>
      <c r="I15" s="106">
        <v>6</v>
      </c>
      <c r="J15" s="289">
        <v>41673</v>
      </c>
      <c r="K15" s="103"/>
    </row>
    <row r="16" spans="1:13" s="104" customFormat="1" hidden="1">
      <c r="A16" s="105">
        <v>41673</v>
      </c>
      <c r="B16" s="105"/>
      <c r="C16" s="315" t="s">
        <v>380</v>
      </c>
      <c r="D16" s="108">
        <v>835.12</v>
      </c>
      <c r="E16" s="99">
        <v>19</v>
      </c>
      <c r="F16" s="100">
        <v>701.78151260504205</v>
      </c>
      <c r="G16" s="101">
        <v>133.33848739495795</v>
      </c>
      <c r="H16" s="222">
        <v>104388</v>
      </c>
      <c r="I16" s="106">
        <v>7</v>
      </c>
      <c r="J16" s="289">
        <v>41673</v>
      </c>
      <c r="K16" s="103"/>
    </row>
    <row r="17" spans="1:11" s="104" customFormat="1" hidden="1">
      <c r="A17" s="105">
        <v>41673</v>
      </c>
      <c r="B17" s="105"/>
      <c r="C17" s="315" t="s">
        <v>462</v>
      </c>
      <c r="D17" s="108">
        <v>144.80000000000001</v>
      </c>
      <c r="E17" s="99">
        <v>19</v>
      </c>
      <c r="F17" s="100">
        <v>121.68067226890757</v>
      </c>
      <c r="G17" s="101">
        <v>23.11932773109244</v>
      </c>
      <c r="H17" s="222" t="s">
        <v>463</v>
      </c>
      <c r="I17" s="106">
        <v>8</v>
      </c>
      <c r="J17" s="289">
        <v>41673</v>
      </c>
      <c r="K17" s="103"/>
    </row>
    <row r="18" spans="1:11" hidden="1">
      <c r="A18" s="105">
        <v>41687</v>
      </c>
      <c r="C18" s="315" t="s">
        <v>505</v>
      </c>
      <c r="D18" s="108">
        <v>56.32</v>
      </c>
      <c r="E18" s="99">
        <v>19</v>
      </c>
      <c r="F18" s="100">
        <v>47.327731092436977</v>
      </c>
      <c r="G18" s="101">
        <v>8.9922689075630231</v>
      </c>
      <c r="H18" s="222" t="s">
        <v>506</v>
      </c>
      <c r="I18" s="106">
        <v>9</v>
      </c>
      <c r="J18" s="289">
        <v>41687</v>
      </c>
    </row>
    <row r="19" spans="1:11" hidden="1">
      <c r="A19" s="105">
        <v>41696</v>
      </c>
      <c r="C19" s="315" t="s">
        <v>505</v>
      </c>
      <c r="D19" s="108">
        <v>188.89</v>
      </c>
      <c r="E19" s="99">
        <v>19</v>
      </c>
      <c r="F19" s="100">
        <v>158.73109243697479</v>
      </c>
      <c r="G19" s="101">
        <v>30.158907563025195</v>
      </c>
      <c r="H19" s="222" t="s">
        <v>528</v>
      </c>
      <c r="I19" s="106">
        <v>10</v>
      </c>
      <c r="J19" s="289">
        <v>41696</v>
      </c>
    </row>
    <row r="20" spans="1:11" hidden="1">
      <c r="A20" s="105">
        <v>41689</v>
      </c>
      <c r="C20" s="315" t="s">
        <v>212</v>
      </c>
      <c r="D20" s="108">
        <v>60</v>
      </c>
      <c r="E20" s="99">
        <v>19</v>
      </c>
      <c r="F20" s="100">
        <v>50.420168067226889</v>
      </c>
      <c r="G20" s="101">
        <v>9.5798319327731107</v>
      </c>
      <c r="H20" s="222" t="s">
        <v>530</v>
      </c>
      <c r="I20" s="106">
        <v>11</v>
      </c>
      <c r="J20" s="289">
        <v>41689</v>
      </c>
    </row>
    <row r="21" spans="1:11" hidden="1">
      <c r="A21" s="105">
        <v>41694</v>
      </c>
      <c r="C21" s="315" t="s">
        <v>532</v>
      </c>
      <c r="D21" s="108">
        <v>5.81</v>
      </c>
      <c r="E21" s="99">
        <v>19</v>
      </c>
      <c r="F21" s="100">
        <v>4.8823529411764701</v>
      </c>
      <c r="G21" s="101">
        <v>0.92764705882352949</v>
      </c>
      <c r="H21" s="222" t="s">
        <v>533</v>
      </c>
      <c r="I21" s="106">
        <v>12</v>
      </c>
      <c r="J21" s="289">
        <v>41694</v>
      </c>
    </row>
    <row r="22" spans="1:11" hidden="1">
      <c r="A22" s="105">
        <v>41752</v>
      </c>
      <c r="C22" s="315" t="s">
        <v>462</v>
      </c>
      <c r="D22" s="108">
        <v>69.849999999999994</v>
      </c>
      <c r="E22" s="99">
        <v>19</v>
      </c>
      <c r="F22" s="100">
        <v>58.697478991596633</v>
      </c>
      <c r="G22" s="101">
        <v>11.152521008403362</v>
      </c>
      <c r="H22" s="222" t="s">
        <v>651</v>
      </c>
      <c r="I22" s="106">
        <v>13</v>
      </c>
      <c r="J22" s="289">
        <v>41752</v>
      </c>
    </row>
    <row r="23" spans="1:11" hidden="1">
      <c r="A23" s="105">
        <v>41816</v>
      </c>
      <c r="C23" s="315" t="s">
        <v>691</v>
      </c>
      <c r="D23" s="108">
        <v>560</v>
      </c>
      <c r="E23" s="99">
        <v>19</v>
      </c>
      <c r="F23" s="100">
        <v>470.58823529411762</v>
      </c>
      <c r="G23" s="101">
        <v>89.411764705882376</v>
      </c>
      <c r="H23" s="222" t="s">
        <v>692</v>
      </c>
      <c r="I23" s="106">
        <v>14</v>
      </c>
      <c r="J23" s="289">
        <v>41816</v>
      </c>
    </row>
    <row r="24" spans="1:11" hidden="1">
      <c r="A24" s="105">
        <v>41820</v>
      </c>
      <c r="C24" s="315" t="s">
        <v>756</v>
      </c>
      <c r="D24" s="108">
        <v>30.8</v>
      </c>
      <c r="E24" s="99">
        <v>19</v>
      </c>
      <c r="F24" s="100">
        <v>25.882352941176471</v>
      </c>
      <c r="G24" s="101">
        <v>4.9176470588235297</v>
      </c>
      <c r="H24" s="222" t="s">
        <v>757</v>
      </c>
      <c r="I24" s="106">
        <v>15</v>
      </c>
      <c r="J24" s="289">
        <v>41820</v>
      </c>
    </row>
    <row r="25" spans="1:11" hidden="1">
      <c r="A25" s="105">
        <v>41822</v>
      </c>
      <c r="C25" s="315" t="s">
        <v>1224</v>
      </c>
      <c r="D25" s="108">
        <v>560</v>
      </c>
      <c r="E25" s="99">
        <v>19</v>
      </c>
      <c r="F25" s="100">
        <v>470.58823529411762</v>
      </c>
      <c r="G25" s="101">
        <v>89.411764705882376</v>
      </c>
      <c r="H25" s="222" t="s">
        <v>793</v>
      </c>
      <c r="I25" s="106">
        <v>16</v>
      </c>
      <c r="J25" s="289">
        <v>41816</v>
      </c>
    </row>
    <row r="26" spans="1:11" hidden="1">
      <c r="A26" s="105">
        <v>41827</v>
      </c>
      <c r="C26" s="315" t="s">
        <v>928</v>
      </c>
      <c r="D26" s="108">
        <v>14.98</v>
      </c>
      <c r="E26" s="99">
        <v>19</v>
      </c>
      <c r="F26" s="100">
        <v>12.588235294117647</v>
      </c>
      <c r="G26" s="101">
        <v>2.3917647058823537</v>
      </c>
      <c r="H26" s="222" t="s">
        <v>929</v>
      </c>
      <c r="I26" s="106">
        <v>17</v>
      </c>
      <c r="J26" s="289">
        <v>41827</v>
      </c>
    </row>
    <row r="27" spans="1:11" hidden="1">
      <c r="A27" s="105">
        <v>41830</v>
      </c>
      <c r="C27" s="315" t="s">
        <v>944</v>
      </c>
      <c r="D27" s="108">
        <v>24.2</v>
      </c>
      <c r="E27" s="99">
        <v>19</v>
      </c>
      <c r="F27" s="100">
        <v>20.336134453781511</v>
      </c>
      <c r="G27" s="101">
        <v>3.8638655462184879</v>
      </c>
      <c r="H27" s="222" t="s">
        <v>1139</v>
      </c>
      <c r="I27" s="106">
        <v>18</v>
      </c>
      <c r="J27" s="289">
        <v>41824</v>
      </c>
    </row>
    <row r="28" spans="1:11" hidden="1">
      <c r="A28" s="105">
        <v>41839</v>
      </c>
      <c r="C28" s="315" t="s">
        <v>1059</v>
      </c>
      <c r="D28" s="108">
        <v>560</v>
      </c>
      <c r="E28" s="99">
        <v>19</v>
      </c>
      <c r="F28" s="100">
        <v>470.58823529411762</v>
      </c>
      <c r="G28" s="101">
        <v>89.411764705882376</v>
      </c>
      <c r="H28" s="222" t="s">
        <v>1060</v>
      </c>
      <c r="I28" s="106">
        <v>19</v>
      </c>
      <c r="J28" s="289">
        <v>41831</v>
      </c>
    </row>
    <row r="29" spans="1:11" hidden="1">
      <c r="A29" s="105">
        <v>41850</v>
      </c>
      <c r="C29" s="315" t="s">
        <v>1170</v>
      </c>
      <c r="D29" s="108">
        <v>560</v>
      </c>
      <c r="E29" s="99">
        <v>19</v>
      </c>
      <c r="F29" s="100">
        <v>470.58823529411762</v>
      </c>
      <c r="G29" s="101">
        <v>89.411764705882376</v>
      </c>
      <c r="H29" s="222" t="s">
        <v>1171</v>
      </c>
      <c r="I29" s="106">
        <v>20</v>
      </c>
      <c r="J29" s="289">
        <v>41849</v>
      </c>
    </row>
  </sheetData>
  <autoFilter ref="A9:A29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4:G4"/>
    <mergeCell ref="F5:G5"/>
    <mergeCell ref="F6:G6"/>
    <mergeCell ref="D3:F3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J142"/>
  <sheetViews>
    <sheetView zoomScaleNormal="100" workbookViewId="0">
      <pane ySplit="9" topLeftCell="A37" activePane="bottomLeft" state="frozen"/>
      <selection pane="bottomLeft" activeCell="C48" sqref="C48"/>
    </sheetView>
  </sheetViews>
  <sheetFormatPr baseColWidth="10" defaultRowHeight="15"/>
  <cols>
    <col min="1" max="1" width="10.28515625" style="235" customWidth="1"/>
    <col min="2" max="2" width="16.140625" style="236" bestFit="1" customWidth="1"/>
    <col min="3" max="3" width="33.28515625" style="236" bestFit="1" customWidth="1"/>
    <col min="4" max="4" width="12.140625" style="236" bestFit="1" customWidth="1"/>
    <col min="5" max="5" width="14" style="240" customWidth="1"/>
    <col min="6" max="6" width="36.85546875" style="236" bestFit="1" customWidth="1"/>
    <col min="7" max="8" width="5.5703125" style="236" bestFit="1" customWidth="1"/>
    <col min="9" max="9" width="5.7109375" style="236" customWidth="1"/>
    <col min="10" max="10" width="7.85546875" style="237" bestFit="1" customWidth="1"/>
  </cols>
  <sheetData>
    <row r="1" spans="1:10" ht="20.25">
      <c r="A1" s="156" t="s">
        <v>185</v>
      </c>
      <c r="B1" s="229"/>
      <c r="C1" s="229"/>
      <c r="D1" s="229"/>
      <c r="E1" s="238"/>
      <c r="F1" s="229"/>
      <c r="G1" s="229"/>
      <c r="H1" s="229"/>
      <c r="I1" s="229"/>
      <c r="J1" s="230"/>
    </row>
    <row r="2" spans="1:10">
      <c r="A2" s="345">
        <v>2014</v>
      </c>
      <c r="B2" s="346"/>
      <c r="C2" s="346"/>
      <c r="D2" s="346"/>
      <c r="E2" s="238"/>
      <c r="F2" s="229"/>
      <c r="G2" s="229"/>
      <c r="H2" s="229"/>
      <c r="I2" s="229"/>
      <c r="J2" s="230"/>
    </row>
    <row r="3" spans="1:10" ht="18.75">
      <c r="A3" s="231"/>
      <c r="B3" s="229"/>
      <c r="C3" s="229"/>
      <c r="D3" s="229"/>
      <c r="E3" s="238"/>
      <c r="F3" s="242" t="s">
        <v>387</v>
      </c>
      <c r="G3" s="342">
        <f>SUM(J:J)</f>
        <v>297.52</v>
      </c>
      <c r="H3" s="343"/>
      <c r="I3" s="344"/>
      <c r="J3" s="230"/>
    </row>
    <row r="4" spans="1:10">
      <c r="A4" s="231"/>
      <c r="B4" s="229"/>
      <c r="C4" s="229"/>
      <c r="D4" s="229"/>
      <c r="E4" s="238"/>
      <c r="F4" s="229"/>
      <c r="G4" s="229"/>
      <c r="H4" s="229"/>
      <c r="I4" s="229"/>
      <c r="J4" s="230"/>
    </row>
    <row r="5" spans="1:10">
      <c r="A5" s="231"/>
      <c r="B5" s="229"/>
      <c r="C5" s="229"/>
      <c r="D5" s="229"/>
      <c r="E5" s="238"/>
      <c r="F5" s="229"/>
      <c r="G5" s="229"/>
      <c r="H5" s="229"/>
      <c r="I5" s="229"/>
      <c r="J5" s="230"/>
    </row>
    <row r="6" spans="1:10">
      <c r="A6" s="231"/>
      <c r="B6" s="229"/>
      <c r="C6" s="229"/>
      <c r="D6" s="229"/>
      <c r="E6" s="238"/>
      <c r="F6" s="229"/>
      <c r="G6" s="229"/>
      <c r="H6" s="229"/>
      <c r="I6" s="229"/>
      <c r="J6" s="230"/>
    </row>
    <row r="7" spans="1:10" s="47" customFormat="1">
      <c r="A7" s="270"/>
      <c r="B7" s="271"/>
      <c r="C7" s="271"/>
      <c r="D7" s="271"/>
      <c r="E7" s="272"/>
      <c r="F7" s="271"/>
      <c r="G7" s="273" t="s">
        <v>136</v>
      </c>
      <c r="H7" s="273" t="s">
        <v>146</v>
      </c>
      <c r="I7" s="273" t="s">
        <v>136</v>
      </c>
      <c r="J7" s="274" t="s">
        <v>385</v>
      </c>
    </row>
    <row r="8" spans="1:10" s="47" customFormat="1">
      <c r="A8" s="270"/>
      <c r="B8" s="271"/>
      <c r="C8" s="271"/>
      <c r="D8" s="271" t="s">
        <v>137</v>
      </c>
      <c r="E8" s="272"/>
      <c r="F8" s="271"/>
      <c r="G8" s="273" t="s">
        <v>138</v>
      </c>
      <c r="H8" s="273" t="s">
        <v>138</v>
      </c>
      <c r="I8" s="273" t="s">
        <v>139</v>
      </c>
      <c r="J8" s="274" t="s">
        <v>386</v>
      </c>
    </row>
    <row r="9" spans="1:10" s="47" customFormat="1" ht="15.75" thickBot="1">
      <c r="A9" s="275" t="s">
        <v>77</v>
      </c>
      <c r="B9" s="276" t="s">
        <v>140</v>
      </c>
      <c r="C9" s="276" t="s">
        <v>71</v>
      </c>
      <c r="D9" s="276" t="s">
        <v>141</v>
      </c>
      <c r="E9" s="277" t="s">
        <v>142</v>
      </c>
      <c r="F9" s="276" t="s">
        <v>143</v>
      </c>
      <c r="G9" s="278" t="s">
        <v>144</v>
      </c>
      <c r="H9" s="278" t="s">
        <v>144</v>
      </c>
      <c r="I9" s="278" t="s">
        <v>145</v>
      </c>
      <c r="J9" s="279"/>
    </row>
    <row r="10" spans="1:10">
      <c r="A10" s="232">
        <v>41649</v>
      </c>
      <c r="B10" s="233" t="s">
        <v>354</v>
      </c>
      <c r="C10" s="233" t="s">
        <v>355</v>
      </c>
      <c r="D10" s="233" t="s">
        <v>356</v>
      </c>
      <c r="E10" s="239" t="s">
        <v>357</v>
      </c>
      <c r="F10" s="233" t="s">
        <v>358</v>
      </c>
      <c r="G10" s="233">
        <v>2</v>
      </c>
      <c r="H10" s="233">
        <v>2</v>
      </c>
      <c r="I10" s="233">
        <v>4</v>
      </c>
      <c r="J10" s="234">
        <v>1.2</v>
      </c>
    </row>
    <row r="11" spans="1:10">
      <c r="A11" s="235">
        <v>41649</v>
      </c>
      <c r="B11" s="236" t="s">
        <v>354</v>
      </c>
      <c r="C11" s="236" t="s">
        <v>361</v>
      </c>
      <c r="D11" s="236" t="s">
        <v>356</v>
      </c>
      <c r="E11" s="240" t="s">
        <v>357</v>
      </c>
      <c r="F11" s="236" t="s">
        <v>362</v>
      </c>
      <c r="G11" s="236">
        <v>2.5</v>
      </c>
      <c r="H11" s="236">
        <v>2.5</v>
      </c>
      <c r="I11" s="236">
        <v>5</v>
      </c>
      <c r="J11" s="237">
        <v>1.5</v>
      </c>
    </row>
    <row r="12" spans="1:10">
      <c r="A12" s="235">
        <v>41649</v>
      </c>
      <c r="B12" s="236" t="s">
        <v>354</v>
      </c>
      <c r="C12" s="236" t="s">
        <v>365</v>
      </c>
      <c r="D12" s="236" t="s">
        <v>356</v>
      </c>
      <c r="E12" s="240" t="s">
        <v>357</v>
      </c>
      <c r="F12" s="236" t="s">
        <v>366</v>
      </c>
      <c r="G12" s="236">
        <v>6</v>
      </c>
      <c r="H12" s="236">
        <v>6</v>
      </c>
      <c r="I12" s="236">
        <v>12</v>
      </c>
      <c r="J12" s="237">
        <v>3.6</v>
      </c>
    </row>
    <row r="13" spans="1:10">
      <c r="A13" s="235">
        <v>41649</v>
      </c>
      <c r="B13" s="236" t="s">
        <v>354</v>
      </c>
      <c r="C13" s="236" t="s">
        <v>369</v>
      </c>
      <c r="D13" s="236" t="s">
        <v>356</v>
      </c>
      <c r="E13" s="240" t="s">
        <v>357</v>
      </c>
      <c r="F13" s="236" t="s">
        <v>370</v>
      </c>
      <c r="G13" s="236">
        <v>0.5</v>
      </c>
      <c r="H13" s="236">
        <v>0.5</v>
      </c>
      <c r="I13" s="236">
        <v>1</v>
      </c>
      <c r="J13" s="237">
        <v>0.3</v>
      </c>
    </row>
    <row r="14" spans="1:10">
      <c r="A14" s="235">
        <v>41649</v>
      </c>
      <c r="B14" s="236" t="s">
        <v>354</v>
      </c>
      <c r="C14" s="236" t="s">
        <v>374</v>
      </c>
      <c r="D14" s="236" t="s">
        <v>356</v>
      </c>
      <c r="E14" s="240" t="s">
        <v>357</v>
      </c>
      <c r="F14" s="236" t="s">
        <v>375</v>
      </c>
      <c r="G14" s="236">
        <v>1</v>
      </c>
      <c r="H14" s="236">
        <v>1</v>
      </c>
      <c r="I14" s="236">
        <v>2</v>
      </c>
      <c r="J14" s="237">
        <v>0.6</v>
      </c>
    </row>
    <row r="15" spans="1:10" ht="51.75">
      <c r="A15" s="235">
        <v>41666</v>
      </c>
      <c r="B15" s="236" t="s">
        <v>354</v>
      </c>
      <c r="C15" s="236" t="s">
        <v>354</v>
      </c>
      <c r="D15" s="236" t="s">
        <v>356</v>
      </c>
      <c r="E15" s="241" t="s">
        <v>399</v>
      </c>
      <c r="F15" s="236" t="s">
        <v>400</v>
      </c>
      <c r="G15" s="236">
        <v>1</v>
      </c>
      <c r="H15" s="236">
        <v>1</v>
      </c>
      <c r="I15" s="236">
        <v>2</v>
      </c>
      <c r="J15" s="237">
        <v>0.6</v>
      </c>
    </row>
    <row r="16" spans="1:10">
      <c r="A16" s="235">
        <v>41669</v>
      </c>
      <c r="B16" s="236" t="s">
        <v>354</v>
      </c>
      <c r="C16" s="236" t="s">
        <v>414</v>
      </c>
      <c r="D16" s="236" t="s">
        <v>356</v>
      </c>
      <c r="E16" s="240" t="s">
        <v>357</v>
      </c>
      <c r="F16" s="236" t="s">
        <v>375</v>
      </c>
      <c r="G16" s="236">
        <v>1</v>
      </c>
      <c r="H16" s="236">
        <v>1</v>
      </c>
      <c r="I16" s="236">
        <v>2</v>
      </c>
      <c r="J16" s="237">
        <v>0.6</v>
      </c>
    </row>
    <row r="17" spans="1:10">
      <c r="A17" s="235">
        <v>41669</v>
      </c>
      <c r="B17" s="236" t="s">
        <v>354</v>
      </c>
      <c r="C17" s="236" t="s">
        <v>415</v>
      </c>
      <c r="D17" s="236" t="s">
        <v>356</v>
      </c>
      <c r="E17" s="240" t="s">
        <v>357</v>
      </c>
      <c r="F17" s="236" t="s">
        <v>416</v>
      </c>
      <c r="G17" s="236">
        <v>2</v>
      </c>
      <c r="H17" s="236">
        <v>2</v>
      </c>
      <c r="I17" s="236">
        <v>4</v>
      </c>
      <c r="J17" s="237">
        <v>1.2</v>
      </c>
    </row>
    <row r="18" spans="1:10">
      <c r="A18" s="235">
        <v>41676</v>
      </c>
      <c r="B18" s="236" t="s">
        <v>461</v>
      </c>
      <c r="C18" s="236" t="s">
        <v>461</v>
      </c>
      <c r="D18" s="236" t="s">
        <v>105</v>
      </c>
      <c r="E18" s="240" t="s">
        <v>105</v>
      </c>
      <c r="F18" s="236" t="s">
        <v>105</v>
      </c>
      <c r="G18" s="236">
        <v>0</v>
      </c>
      <c r="H18" s="236">
        <v>0</v>
      </c>
      <c r="I18" s="236">
        <v>0</v>
      </c>
      <c r="J18" s="237">
        <v>0.6</v>
      </c>
    </row>
    <row r="19" spans="1:10">
      <c r="A19" s="235">
        <v>41681</v>
      </c>
      <c r="B19" s="236" t="s">
        <v>354</v>
      </c>
      <c r="C19" s="236" t="s">
        <v>465</v>
      </c>
      <c r="D19" s="236" t="s">
        <v>356</v>
      </c>
      <c r="E19" s="240" t="s">
        <v>357</v>
      </c>
      <c r="F19" s="236" t="s">
        <v>375</v>
      </c>
      <c r="G19" s="236">
        <v>1</v>
      </c>
      <c r="H19" s="236">
        <v>1</v>
      </c>
      <c r="I19" s="236">
        <v>2</v>
      </c>
      <c r="J19" s="237">
        <v>0.6</v>
      </c>
    </row>
    <row r="20" spans="1:10">
      <c r="A20" s="235">
        <v>41682</v>
      </c>
      <c r="B20" s="236" t="s">
        <v>354</v>
      </c>
      <c r="C20" s="236" t="s">
        <v>468</v>
      </c>
      <c r="D20" s="236" t="s">
        <v>356</v>
      </c>
      <c r="E20" s="240" t="s">
        <v>357</v>
      </c>
      <c r="F20" s="236" t="s">
        <v>375</v>
      </c>
      <c r="G20" s="236">
        <v>1</v>
      </c>
      <c r="H20" s="236">
        <v>1</v>
      </c>
      <c r="I20" s="236">
        <v>2</v>
      </c>
      <c r="J20" s="237">
        <v>0.6</v>
      </c>
    </row>
    <row r="21" spans="1:10">
      <c r="A21" s="235">
        <v>41682</v>
      </c>
      <c r="B21" s="236" t="s">
        <v>354</v>
      </c>
      <c r="C21" s="236" t="s">
        <v>470</v>
      </c>
      <c r="D21" s="236" t="s">
        <v>356</v>
      </c>
      <c r="E21" s="240" t="s">
        <v>357</v>
      </c>
      <c r="F21" s="236" t="s">
        <v>366</v>
      </c>
      <c r="G21" s="236">
        <v>6</v>
      </c>
      <c r="H21" s="236">
        <v>6</v>
      </c>
      <c r="I21" s="236">
        <v>12</v>
      </c>
      <c r="J21" s="237">
        <v>3.6</v>
      </c>
    </row>
    <row r="22" spans="1:10">
      <c r="A22" s="235">
        <v>41684</v>
      </c>
      <c r="B22" s="236" t="s">
        <v>354</v>
      </c>
      <c r="C22" s="236" t="s">
        <v>475</v>
      </c>
      <c r="D22" s="236" t="s">
        <v>356</v>
      </c>
      <c r="E22" s="240" t="s">
        <v>357</v>
      </c>
      <c r="F22" s="236" t="s">
        <v>476</v>
      </c>
      <c r="G22" s="236">
        <v>4</v>
      </c>
      <c r="H22" s="236">
        <v>4</v>
      </c>
      <c r="I22" s="236">
        <v>8</v>
      </c>
      <c r="J22" s="237">
        <v>2.4</v>
      </c>
    </row>
    <row r="23" spans="1:10">
      <c r="A23" s="235">
        <v>41688</v>
      </c>
      <c r="B23" s="236" t="s">
        <v>354</v>
      </c>
      <c r="C23" s="236" t="s">
        <v>497</v>
      </c>
      <c r="D23" s="236" t="s">
        <v>356</v>
      </c>
      <c r="E23" s="240" t="s">
        <v>357</v>
      </c>
      <c r="F23" s="236" t="s">
        <v>498</v>
      </c>
      <c r="G23" s="236">
        <v>7.5</v>
      </c>
      <c r="H23" s="236">
        <v>7.5</v>
      </c>
      <c r="I23" s="236">
        <v>15</v>
      </c>
      <c r="J23" s="237">
        <v>4.5</v>
      </c>
    </row>
    <row r="24" spans="1:10">
      <c r="A24" s="235">
        <v>41689</v>
      </c>
      <c r="B24" s="236" t="s">
        <v>508</v>
      </c>
      <c r="C24" s="236" t="s">
        <v>509</v>
      </c>
      <c r="D24" s="236" t="s">
        <v>105</v>
      </c>
      <c r="E24" s="240" t="s">
        <v>105</v>
      </c>
      <c r="F24" s="236" t="s">
        <v>105</v>
      </c>
      <c r="G24" s="236">
        <v>0</v>
      </c>
      <c r="H24" s="236">
        <v>0</v>
      </c>
      <c r="I24" s="236">
        <v>0</v>
      </c>
      <c r="J24" s="237">
        <v>4.24</v>
      </c>
    </row>
    <row r="25" spans="1:10">
      <c r="A25" s="235">
        <v>41689</v>
      </c>
      <c r="B25" s="236" t="s">
        <v>354</v>
      </c>
      <c r="C25" s="236" t="s">
        <v>511</v>
      </c>
      <c r="D25" s="236" t="s">
        <v>356</v>
      </c>
      <c r="E25" s="240" t="s">
        <v>357</v>
      </c>
      <c r="F25" s="236" t="s">
        <v>375</v>
      </c>
      <c r="G25" s="236">
        <v>1</v>
      </c>
      <c r="H25" s="236">
        <v>1</v>
      </c>
      <c r="I25" s="236">
        <v>2</v>
      </c>
      <c r="J25" s="237">
        <v>0.6</v>
      </c>
    </row>
    <row r="26" spans="1:10">
      <c r="A26" s="235">
        <v>41689</v>
      </c>
      <c r="B26" s="236" t="s">
        <v>354</v>
      </c>
      <c r="C26" s="236" t="s">
        <v>515</v>
      </c>
      <c r="D26" s="236" t="s">
        <v>356</v>
      </c>
      <c r="E26" s="240" t="s">
        <v>357</v>
      </c>
      <c r="F26" s="236" t="s">
        <v>516</v>
      </c>
      <c r="G26" s="236">
        <v>6.5</v>
      </c>
      <c r="H26" s="236">
        <v>6.5</v>
      </c>
      <c r="I26" s="236">
        <v>13</v>
      </c>
      <c r="J26" s="237">
        <v>3.9</v>
      </c>
    </row>
    <row r="27" spans="1:10">
      <c r="A27" s="235">
        <v>41691</v>
      </c>
      <c r="B27" s="236" t="s">
        <v>354</v>
      </c>
      <c r="C27" s="236" t="s">
        <v>564</v>
      </c>
      <c r="D27" s="236" t="s">
        <v>356</v>
      </c>
      <c r="E27" s="240" t="s">
        <v>357</v>
      </c>
      <c r="F27" s="236" t="s">
        <v>519</v>
      </c>
      <c r="G27" s="236">
        <v>0</v>
      </c>
      <c r="H27" s="236">
        <v>0</v>
      </c>
      <c r="I27" s="236">
        <v>0</v>
      </c>
      <c r="J27" s="237">
        <v>0</v>
      </c>
    </row>
    <row r="28" spans="1:10">
      <c r="A28" s="235">
        <v>41695</v>
      </c>
      <c r="B28" s="236" t="s">
        <v>354</v>
      </c>
      <c r="C28" s="236" t="s">
        <v>521</v>
      </c>
      <c r="D28" s="236" t="s">
        <v>356</v>
      </c>
      <c r="E28" s="240" t="s">
        <v>357</v>
      </c>
      <c r="F28" s="236" t="s">
        <v>522</v>
      </c>
      <c r="G28" s="236">
        <v>2</v>
      </c>
      <c r="H28" s="236">
        <v>2</v>
      </c>
      <c r="I28" s="236">
        <v>4</v>
      </c>
      <c r="J28" s="237">
        <v>1.2</v>
      </c>
    </row>
    <row r="29" spans="1:10">
      <c r="A29" s="235">
        <v>41701</v>
      </c>
      <c r="B29" s="236" t="s">
        <v>535</v>
      </c>
      <c r="C29" s="236" t="s">
        <v>535</v>
      </c>
      <c r="D29" s="236" t="s">
        <v>105</v>
      </c>
      <c r="E29" s="240" t="s">
        <v>105</v>
      </c>
      <c r="F29" s="236" t="s">
        <v>105</v>
      </c>
      <c r="G29" s="236">
        <v>0</v>
      </c>
      <c r="H29" s="236">
        <v>0</v>
      </c>
      <c r="I29" s="236">
        <v>0</v>
      </c>
      <c r="J29" s="237">
        <v>2.9</v>
      </c>
    </row>
    <row r="30" spans="1:10">
      <c r="A30" s="235">
        <v>41705</v>
      </c>
      <c r="B30" s="236" t="s">
        <v>354</v>
      </c>
      <c r="C30" s="236" t="s">
        <v>537</v>
      </c>
      <c r="D30" s="236" t="s">
        <v>356</v>
      </c>
      <c r="E30" s="240" t="s">
        <v>357</v>
      </c>
      <c r="F30" s="236" t="s">
        <v>375</v>
      </c>
      <c r="G30" s="236">
        <v>1</v>
      </c>
      <c r="H30" s="236">
        <v>1</v>
      </c>
      <c r="I30" s="236">
        <v>2</v>
      </c>
      <c r="J30" s="237">
        <v>0.6</v>
      </c>
    </row>
    <row r="31" spans="1:10">
      <c r="A31" s="235">
        <v>41709</v>
      </c>
      <c r="B31" s="236" t="s">
        <v>354</v>
      </c>
      <c r="C31" s="236" t="s">
        <v>542</v>
      </c>
      <c r="D31" s="236" t="s">
        <v>356</v>
      </c>
      <c r="E31" s="240" t="s">
        <v>357</v>
      </c>
      <c r="F31" s="236" t="s">
        <v>543</v>
      </c>
      <c r="G31" s="236">
        <v>0</v>
      </c>
      <c r="H31" s="236">
        <v>0</v>
      </c>
      <c r="I31" s="236">
        <v>0</v>
      </c>
      <c r="J31" s="237">
        <v>0</v>
      </c>
    </row>
    <row r="32" spans="1:10">
      <c r="A32" s="235">
        <v>41709</v>
      </c>
      <c r="B32" s="236" t="s">
        <v>354</v>
      </c>
      <c r="C32" s="236" t="s">
        <v>546</v>
      </c>
      <c r="D32" s="236" t="s">
        <v>356</v>
      </c>
      <c r="E32" s="240" t="s">
        <v>357</v>
      </c>
      <c r="F32" s="236" t="s">
        <v>547</v>
      </c>
      <c r="G32" s="236">
        <v>0</v>
      </c>
      <c r="H32" s="236">
        <v>0</v>
      </c>
      <c r="I32" s="236">
        <v>0</v>
      </c>
      <c r="J32" s="237">
        <v>0</v>
      </c>
    </row>
    <row r="33" spans="1:10">
      <c r="A33" s="235">
        <v>41711</v>
      </c>
      <c r="B33" s="236" t="s">
        <v>354</v>
      </c>
      <c r="C33" s="236" t="s">
        <v>566</v>
      </c>
      <c r="D33" s="236" t="s">
        <v>356</v>
      </c>
      <c r="E33" s="240" t="s">
        <v>357</v>
      </c>
      <c r="F33" s="236" t="s">
        <v>362</v>
      </c>
      <c r="G33" s="236" t="s">
        <v>567</v>
      </c>
      <c r="H33" s="236" t="s">
        <v>567</v>
      </c>
      <c r="I33" s="236">
        <v>5</v>
      </c>
      <c r="J33" s="237">
        <v>1.5</v>
      </c>
    </row>
    <row r="34" spans="1:10">
      <c r="A34" s="235">
        <v>41716</v>
      </c>
      <c r="B34" s="236" t="s">
        <v>354</v>
      </c>
      <c r="C34" s="236" t="s">
        <v>569</v>
      </c>
      <c r="D34" s="236" t="s">
        <v>356</v>
      </c>
      <c r="E34" s="240" t="s">
        <v>357</v>
      </c>
      <c r="F34" s="236" t="s">
        <v>570</v>
      </c>
      <c r="G34" s="236">
        <v>2</v>
      </c>
      <c r="H34" s="236">
        <v>2</v>
      </c>
      <c r="I34" s="236">
        <v>4</v>
      </c>
      <c r="J34" s="237">
        <v>1.2</v>
      </c>
    </row>
    <row r="35" spans="1:10">
      <c r="A35" s="235">
        <v>41716</v>
      </c>
      <c r="B35" s="236" t="s">
        <v>354</v>
      </c>
      <c r="C35" s="236" t="s">
        <v>573</v>
      </c>
      <c r="D35" s="236" t="s">
        <v>356</v>
      </c>
      <c r="E35" s="240" t="s">
        <v>357</v>
      </c>
      <c r="F35" s="236" t="s">
        <v>574</v>
      </c>
      <c r="G35" s="236">
        <v>0</v>
      </c>
      <c r="H35" s="236">
        <v>0</v>
      </c>
      <c r="I35" s="236">
        <v>0</v>
      </c>
      <c r="J35" s="237">
        <v>0</v>
      </c>
    </row>
    <row r="36" spans="1:10">
      <c r="A36" s="235">
        <v>41716</v>
      </c>
      <c r="B36" s="236" t="s">
        <v>354</v>
      </c>
      <c r="C36" s="236" t="s">
        <v>576</v>
      </c>
      <c r="D36" s="236" t="s">
        <v>356</v>
      </c>
      <c r="E36" s="240" t="s">
        <v>357</v>
      </c>
      <c r="F36" s="236" t="s">
        <v>366</v>
      </c>
      <c r="G36" s="236">
        <v>6</v>
      </c>
      <c r="H36" s="236">
        <v>6</v>
      </c>
      <c r="I36" s="236">
        <v>12</v>
      </c>
      <c r="J36" s="237">
        <v>3.6</v>
      </c>
    </row>
    <row r="37" spans="1:10">
      <c r="A37" s="235">
        <v>41724</v>
      </c>
      <c r="B37" s="236" t="s">
        <v>354</v>
      </c>
      <c r="C37" s="236" t="s">
        <v>579</v>
      </c>
      <c r="D37" s="236" t="s">
        <v>356</v>
      </c>
      <c r="E37" s="240" t="s">
        <v>357</v>
      </c>
      <c r="F37" s="236" t="s">
        <v>358</v>
      </c>
      <c r="G37" s="236">
        <v>2</v>
      </c>
      <c r="H37" s="236">
        <v>2</v>
      </c>
      <c r="I37" s="236">
        <v>4</v>
      </c>
      <c r="J37" s="237">
        <v>1.2</v>
      </c>
    </row>
    <row r="38" spans="1:10">
      <c r="A38" s="235">
        <v>41724</v>
      </c>
      <c r="B38" s="236" t="s">
        <v>584</v>
      </c>
      <c r="C38" s="236" t="s">
        <v>585</v>
      </c>
      <c r="D38" s="236" t="s">
        <v>586</v>
      </c>
      <c r="E38" s="240" t="s">
        <v>357</v>
      </c>
      <c r="F38" s="236" t="s">
        <v>587</v>
      </c>
      <c r="G38" s="236">
        <v>2</v>
      </c>
      <c r="H38" s="236">
        <v>2</v>
      </c>
      <c r="I38" s="236">
        <v>4</v>
      </c>
      <c r="J38" s="237">
        <v>1.2</v>
      </c>
    </row>
    <row r="39" spans="1:10">
      <c r="A39" s="235">
        <v>41725</v>
      </c>
      <c r="B39" s="236" t="s">
        <v>584</v>
      </c>
      <c r="C39" s="236" t="s">
        <v>585</v>
      </c>
      <c r="D39" s="236" t="s">
        <v>584</v>
      </c>
      <c r="E39" s="240" t="s">
        <v>357</v>
      </c>
      <c r="F39" s="236" t="s">
        <v>590</v>
      </c>
      <c r="G39" s="236">
        <v>5</v>
      </c>
      <c r="H39" s="236">
        <v>5</v>
      </c>
      <c r="I39" s="236">
        <v>10</v>
      </c>
      <c r="J39" s="237">
        <v>3</v>
      </c>
    </row>
    <row r="40" spans="1:10">
      <c r="A40" s="235">
        <v>41726</v>
      </c>
      <c r="B40" s="236" t="s">
        <v>354</v>
      </c>
      <c r="C40" s="236" t="s">
        <v>591</v>
      </c>
      <c r="D40" s="236" t="s">
        <v>356</v>
      </c>
      <c r="E40" s="240" t="s">
        <v>357</v>
      </c>
      <c r="F40" s="236" t="s">
        <v>362</v>
      </c>
      <c r="G40" s="236" t="s">
        <v>567</v>
      </c>
      <c r="H40" s="236" t="s">
        <v>567</v>
      </c>
      <c r="I40" s="236">
        <v>5</v>
      </c>
      <c r="J40" s="237">
        <v>1.5</v>
      </c>
    </row>
    <row r="41" spans="1:10">
      <c r="A41" s="235">
        <v>41729</v>
      </c>
      <c r="B41" s="236" t="s">
        <v>354</v>
      </c>
      <c r="C41" s="236" t="s">
        <v>599</v>
      </c>
      <c r="D41" s="236" t="s">
        <v>356</v>
      </c>
      <c r="E41" s="240" t="s">
        <v>357</v>
      </c>
      <c r="F41" s="236" t="s">
        <v>600</v>
      </c>
      <c r="G41" s="236">
        <v>5</v>
      </c>
      <c r="H41" s="236">
        <v>5</v>
      </c>
      <c r="I41" s="236">
        <v>10</v>
      </c>
      <c r="J41" s="237">
        <v>3</v>
      </c>
    </row>
    <row r="42" spans="1:10">
      <c r="A42" s="235">
        <v>41729</v>
      </c>
      <c r="B42" s="236" t="s">
        <v>354</v>
      </c>
      <c r="C42" s="236" t="s">
        <v>604</v>
      </c>
      <c r="D42" s="236" t="s">
        <v>356</v>
      </c>
      <c r="E42" s="240" t="s">
        <v>357</v>
      </c>
      <c r="F42" s="236" t="s">
        <v>605</v>
      </c>
      <c r="G42" s="236" t="s">
        <v>606</v>
      </c>
      <c r="H42" s="236" t="s">
        <v>606</v>
      </c>
      <c r="I42" s="236">
        <v>1</v>
      </c>
      <c r="J42" s="237">
        <v>0.3</v>
      </c>
    </row>
    <row r="43" spans="1:10">
      <c r="A43" s="235">
        <v>41729</v>
      </c>
      <c r="B43" s="236" t="s">
        <v>354</v>
      </c>
      <c r="C43" s="236" t="s">
        <v>615</v>
      </c>
      <c r="D43" s="236" t="s">
        <v>356</v>
      </c>
      <c r="E43" s="240" t="s">
        <v>357</v>
      </c>
      <c r="F43" s="236" t="s">
        <v>616</v>
      </c>
      <c r="G43" s="236">
        <v>11</v>
      </c>
      <c r="H43" s="236">
        <v>11</v>
      </c>
      <c r="I43" s="236">
        <v>22</v>
      </c>
      <c r="J43" s="237">
        <v>6.6</v>
      </c>
    </row>
    <row r="44" spans="1:10">
      <c r="A44" s="235">
        <v>41729</v>
      </c>
      <c r="B44" s="236" t="s">
        <v>584</v>
      </c>
      <c r="C44" s="236" t="s">
        <v>622</v>
      </c>
      <c r="D44" s="236" t="s">
        <v>584</v>
      </c>
      <c r="E44" s="240" t="s">
        <v>623</v>
      </c>
      <c r="F44" s="236" t="s">
        <v>624</v>
      </c>
      <c r="G44" s="236">
        <v>11</v>
      </c>
      <c r="H44" s="236">
        <v>11</v>
      </c>
      <c r="I44" s="236">
        <v>22</v>
      </c>
      <c r="J44" s="237">
        <v>6.6</v>
      </c>
    </row>
    <row r="45" spans="1:10">
      <c r="A45" s="235">
        <v>41729</v>
      </c>
      <c r="B45" s="236" t="s">
        <v>354</v>
      </c>
      <c r="C45" s="236" t="s">
        <v>625</v>
      </c>
      <c r="D45" s="236" t="s">
        <v>356</v>
      </c>
      <c r="E45" s="240" t="s">
        <v>357</v>
      </c>
      <c r="F45" s="236" t="s">
        <v>375</v>
      </c>
      <c r="G45" s="236">
        <v>1</v>
      </c>
      <c r="H45" s="236">
        <v>1</v>
      </c>
      <c r="I45" s="236">
        <v>2</v>
      </c>
      <c r="J45" s="237">
        <v>0.6</v>
      </c>
    </row>
    <row r="46" spans="1:10">
      <c r="A46" s="235">
        <v>41729</v>
      </c>
      <c r="B46" s="236" t="s">
        <v>354</v>
      </c>
      <c r="C46" s="236" t="s">
        <v>634</v>
      </c>
      <c r="D46" s="236" t="s">
        <v>356</v>
      </c>
      <c r="E46" s="240" t="s">
        <v>357</v>
      </c>
      <c r="F46" s="236" t="s">
        <v>635</v>
      </c>
      <c r="G46" s="236">
        <v>2</v>
      </c>
      <c r="H46" s="236">
        <v>2</v>
      </c>
      <c r="I46" s="236">
        <v>4</v>
      </c>
      <c r="J46" s="237">
        <v>1.2</v>
      </c>
    </row>
    <row r="47" spans="1:10">
      <c r="A47" s="235">
        <v>41729</v>
      </c>
      <c r="B47" s="236" t="s">
        <v>354</v>
      </c>
      <c r="C47" s="236" t="s">
        <v>639</v>
      </c>
      <c r="D47" s="236" t="s">
        <v>356</v>
      </c>
      <c r="E47" s="240" t="s">
        <v>357</v>
      </c>
      <c r="F47" s="236" t="s">
        <v>640</v>
      </c>
      <c r="G47" s="236" t="s">
        <v>567</v>
      </c>
      <c r="H47" s="236" t="s">
        <v>567</v>
      </c>
      <c r="I47" s="236">
        <v>5</v>
      </c>
      <c r="J47" s="237">
        <v>1.5</v>
      </c>
    </row>
    <row r="48" spans="1:10">
      <c r="A48" s="235">
        <v>41730</v>
      </c>
      <c r="B48" s="236" t="s">
        <v>508</v>
      </c>
      <c r="C48" s="236" t="s">
        <v>508</v>
      </c>
      <c r="D48" s="236" t="s">
        <v>105</v>
      </c>
      <c r="E48" s="240" t="s">
        <v>105</v>
      </c>
      <c r="F48" s="236" t="s">
        <v>105</v>
      </c>
      <c r="J48" s="237">
        <v>2.9</v>
      </c>
    </row>
    <row r="49" spans="1:10">
      <c r="A49" s="235">
        <v>41731</v>
      </c>
      <c r="B49" s="236" t="s">
        <v>354</v>
      </c>
      <c r="C49" s="236" t="s">
        <v>646</v>
      </c>
      <c r="D49" s="236" t="s">
        <v>356</v>
      </c>
      <c r="E49" s="240" t="s">
        <v>357</v>
      </c>
      <c r="F49" s="236" t="s">
        <v>366</v>
      </c>
      <c r="G49" s="236">
        <v>6</v>
      </c>
      <c r="H49" s="236">
        <v>6</v>
      </c>
      <c r="I49" s="236">
        <v>12</v>
      </c>
      <c r="J49" s="237">
        <v>3.6</v>
      </c>
    </row>
    <row r="50" spans="1:10">
      <c r="A50" s="235">
        <v>41753</v>
      </c>
      <c r="B50" s="236" t="s">
        <v>354</v>
      </c>
      <c r="C50" s="236" t="s">
        <v>652</v>
      </c>
      <c r="D50" s="236" t="s">
        <v>356</v>
      </c>
      <c r="E50" s="240" t="s">
        <v>357</v>
      </c>
      <c r="F50" s="236" t="s">
        <v>375</v>
      </c>
      <c r="G50" s="236">
        <v>1</v>
      </c>
      <c r="H50" s="236">
        <v>1</v>
      </c>
      <c r="I50" s="236">
        <v>2</v>
      </c>
      <c r="J50" s="237">
        <v>0.6</v>
      </c>
    </row>
    <row r="51" spans="1:10">
      <c r="A51" s="235">
        <v>41754</v>
      </c>
      <c r="B51" s="236" t="s">
        <v>354</v>
      </c>
      <c r="C51" s="236" t="s">
        <v>659</v>
      </c>
      <c r="D51" s="236" t="s">
        <v>356</v>
      </c>
      <c r="E51" s="240" t="s">
        <v>357</v>
      </c>
      <c r="F51" s="236" t="s">
        <v>660</v>
      </c>
      <c r="G51" s="236" t="s">
        <v>661</v>
      </c>
      <c r="H51" s="236" t="s">
        <v>661</v>
      </c>
      <c r="I51" s="236">
        <v>5.4</v>
      </c>
      <c r="J51" s="237">
        <v>1.62</v>
      </c>
    </row>
    <row r="52" spans="1:10">
      <c r="A52" s="235">
        <v>41754</v>
      </c>
      <c r="B52" s="236" t="s">
        <v>354</v>
      </c>
      <c r="C52" s="236" t="s">
        <v>664</v>
      </c>
      <c r="D52" s="236" t="s">
        <v>356</v>
      </c>
      <c r="E52" s="240" t="s">
        <v>357</v>
      </c>
      <c r="F52" s="236" t="s">
        <v>366</v>
      </c>
      <c r="G52" s="236">
        <v>6</v>
      </c>
      <c r="H52" s="236">
        <v>6</v>
      </c>
      <c r="I52" s="236">
        <v>12</v>
      </c>
      <c r="J52" s="237">
        <v>3.6</v>
      </c>
    </row>
    <row r="53" spans="1:10">
      <c r="A53" s="235">
        <v>41768</v>
      </c>
      <c r="B53" s="236" t="s">
        <v>508</v>
      </c>
      <c r="C53" s="236" t="s">
        <v>508</v>
      </c>
      <c r="D53" s="236" t="s">
        <v>105</v>
      </c>
      <c r="E53" s="240" t="s">
        <v>105</v>
      </c>
      <c r="F53" s="236" t="s">
        <v>105</v>
      </c>
      <c r="J53" s="237">
        <v>2.9</v>
      </c>
    </row>
    <row r="54" spans="1:10">
      <c r="A54" s="235">
        <v>41800</v>
      </c>
      <c r="B54" s="236" t="s">
        <v>354</v>
      </c>
      <c r="C54" s="236" t="s">
        <v>670</v>
      </c>
      <c r="D54" s="236" t="s">
        <v>356</v>
      </c>
      <c r="E54" s="240" t="s">
        <v>357</v>
      </c>
      <c r="F54" s="236" t="s">
        <v>574</v>
      </c>
      <c r="G54" s="236">
        <v>0</v>
      </c>
      <c r="H54" s="236">
        <v>0</v>
      </c>
      <c r="I54" s="236">
        <v>0</v>
      </c>
      <c r="J54" s="237">
        <v>0</v>
      </c>
    </row>
    <row r="55" spans="1:10">
      <c r="A55" s="235">
        <v>41803</v>
      </c>
      <c r="B55" s="236" t="s">
        <v>354</v>
      </c>
      <c r="C55" s="236" t="s">
        <v>673</v>
      </c>
      <c r="D55" s="236" t="s">
        <v>356</v>
      </c>
      <c r="E55" s="240" t="s">
        <v>357</v>
      </c>
      <c r="F55" s="236" t="s">
        <v>375</v>
      </c>
      <c r="G55" s="236">
        <v>1</v>
      </c>
      <c r="H55" s="236">
        <v>1</v>
      </c>
      <c r="I55" s="236">
        <v>2</v>
      </c>
      <c r="J55" s="237">
        <v>0.6</v>
      </c>
    </row>
    <row r="56" spans="1:10">
      <c r="A56" s="235">
        <v>41803</v>
      </c>
      <c r="B56" s="236" t="s">
        <v>354</v>
      </c>
      <c r="C56" s="236" t="s">
        <v>676</v>
      </c>
      <c r="D56" s="236" t="s">
        <v>356</v>
      </c>
      <c r="E56" s="240" t="s">
        <v>357</v>
      </c>
      <c r="F56" s="236" t="s">
        <v>476</v>
      </c>
      <c r="G56" s="236">
        <v>4</v>
      </c>
      <c r="H56" s="236">
        <v>4</v>
      </c>
      <c r="I56" s="236">
        <v>8</v>
      </c>
      <c r="J56" s="237">
        <v>2.4</v>
      </c>
    </row>
    <row r="57" spans="1:10">
      <c r="A57" s="235">
        <v>41804</v>
      </c>
      <c r="B57" s="236" t="s">
        <v>354</v>
      </c>
      <c r="C57" s="236" t="s">
        <v>678</v>
      </c>
      <c r="D57" s="236" t="s">
        <v>356</v>
      </c>
      <c r="E57" s="240" t="s">
        <v>357</v>
      </c>
      <c r="F57" s="236" t="s">
        <v>375</v>
      </c>
      <c r="G57" s="236">
        <v>1</v>
      </c>
      <c r="H57" s="236">
        <v>1</v>
      </c>
      <c r="I57" s="236">
        <v>2</v>
      </c>
      <c r="J57" s="237">
        <v>0.6</v>
      </c>
    </row>
    <row r="58" spans="1:10">
      <c r="A58" s="235">
        <v>41792</v>
      </c>
      <c r="B58" s="236" t="s">
        <v>508</v>
      </c>
      <c r="C58" s="236" t="s">
        <v>508</v>
      </c>
      <c r="D58" s="236" t="s">
        <v>105</v>
      </c>
      <c r="E58" s="240" t="s">
        <v>105</v>
      </c>
      <c r="F58" s="236" t="s">
        <v>105</v>
      </c>
      <c r="J58" s="237">
        <v>2.9</v>
      </c>
    </row>
    <row r="59" spans="1:10">
      <c r="A59" s="235">
        <v>41815</v>
      </c>
      <c r="B59" s="236" t="s">
        <v>354</v>
      </c>
      <c r="C59" s="236" t="s">
        <v>695</v>
      </c>
      <c r="D59" s="236" t="s">
        <v>356</v>
      </c>
      <c r="E59" s="240" t="s">
        <v>357</v>
      </c>
      <c r="F59" s="236" t="s">
        <v>635</v>
      </c>
      <c r="G59" s="236">
        <v>2</v>
      </c>
      <c r="H59" s="236">
        <v>2</v>
      </c>
      <c r="I59" s="236">
        <v>4</v>
      </c>
      <c r="J59" s="237">
        <v>1.2</v>
      </c>
    </row>
    <row r="60" spans="1:10">
      <c r="A60" s="235">
        <v>41815</v>
      </c>
      <c r="B60" s="236" t="s">
        <v>354</v>
      </c>
      <c r="C60" s="236" t="s">
        <v>697</v>
      </c>
      <c r="D60" s="236" t="s">
        <v>356</v>
      </c>
      <c r="E60" s="240" t="s">
        <v>357</v>
      </c>
      <c r="F60" s="236" t="s">
        <v>600</v>
      </c>
      <c r="G60" s="236">
        <v>5</v>
      </c>
      <c r="H60" s="236">
        <v>5</v>
      </c>
      <c r="I60" s="236">
        <v>10</v>
      </c>
      <c r="J60" s="237">
        <v>3</v>
      </c>
    </row>
    <row r="61" spans="1:10">
      <c r="A61" s="235">
        <v>41815</v>
      </c>
      <c r="B61" s="236" t="s">
        <v>354</v>
      </c>
      <c r="C61" s="236" t="s">
        <v>699</v>
      </c>
      <c r="D61" s="236" t="s">
        <v>356</v>
      </c>
      <c r="E61" s="240" t="s">
        <v>357</v>
      </c>
      <c r="F61" s="236" t="s">
        <v>366</v>
      </c>
      <c r="G61" s="236">
        <v>6</v>
      </c>
      <c r="H61" s="236">
        <v>6</v>
      </c>
      <c r="I61" s="236">
        <v>12</v>
      </c>
      <c r="J61" s="237">
        <v>3.6</v>
      </c>
    </row>
    <row r="62" spans="1:10">
      <c r="A62" s="235">
        <v>41815</v>
      </c>
      <c r="B62" s="236" t="s">
        <v>354</v>
      </c>
      <c r="C62" s="236" t="s">
        <v>701</v>
      </c>
      <c r="D62" s="236" t="s">
        <v>356</v>
      </c>
      <c r="E62" s="240" t="s">
        <v>357</v>
      </c>
      <c r="F62" s="236" t="s">
        <v>516</v>
      </c>
      <c r="G62" s="236" t="s">
        <v>702</v>
      </c>
      <c r="H62" s="236" t="s">
        <v>702</v>
      </c>
      <c r="I62" s="236">
        <v>13</v>
      </c>
      <c r="J62" s="237">
        <v>3.9</v>
      </c>
    </row>
    <row r="63" spans="1:10">
      <c r="A63" s="235">
        <v>41815</v>
      </c>
      <c r="B63" s="236" t="s">
        <v>354</v>
      </c>
      <c r="C63" s="236" t="s">
        <v>704</v>
      </c>
      <c r="D63" s="236" t="s">
        <v>356</v>
      </c>
      <c r="E63" s="240" t="s">
        <v>357</v>
      </c>
      <c r="F63" s="236" t="s">
        <v>543</v>
      </c>
      <c r="G63" s="236">
        <v>0</v>
      </c>
      <c r="H63" s="236">
        <v>0</v>
      </c>
      <c r="I63" s="236">
        <v>0</v>
      </c>
      <c r="J63" s="237">
        <v>0</v>
      </c>
    </row>
    <row r="64" spans="1:10">
      <c r="A64" s="235">
        <v>41815</v>
      </c>
      <c r="B64" s="236" t="s">
        <v>354</v>
      </c>
      <c r="C64" s="236" t="s">
        <v>706</v>
      </c>
      <c r="D64" s="236" t="s">
        <v>356</v>
      </c>
      <c r="E64" s="240" t="s">
        <v>357</v>
      </c>
      <c r="F64" s="236" t="s">
        <v>375</v>
      </c>
      <c r="G64" s="236">
        <v>1</v>
      </c>
      <c r="H64" s="236">
        <v>1</v>
      </c>
      <c r="I64" s="236">
        <v>2</v>
      </c>
      <c r="J64" s="237">
        <v>0.6</v>
      </c>
    </row>
    <row r="65" spans="1:10">
      <c r="A65" s="235">
        <v>41815</v>
      </c>
      <c r="B65" s="236" t="s">
        <v>354</v>
      </c>
      <c r="C65" s="236" t="s">
        <v>709</v>
      </c>
      <c r="D65" s="236" t="s">
        <v>356</v>
      </c>
      <c r="E65" s="240" t="s">
        <v>357</v>
      </c>
      <c r="F65" s="236" t="s">
        <v>710</v>
      </c>
      <c r="G65" s="236">
        <v>2</v>
      </c>
      <c r="H65" s="236">
        <v>2</v>
      </c>
      <c r="I65" s="236">
        <v>4</v>
      </c>
      <c r="J65" s="237">
        <v>1.2</v>
      </c>
    </row>
    <row r="66" spans="1:10">
      <c r="A66" s="235">
        <v>41816</v>
      </c>
      <c r="B66" s="236" t="s">
        <v>354</v>
      </c>
      <c r="C66" s="236" t="s">
        <v>713</v>
      </c>
      <c r="D66" s="236" t="s">
        <v>356</v>
      </c>
      <c r="E66" s="240" t="s">
        <v>357</v>
      </c>
      <c r="F66" s="236" t="s">
        <v>547</v>
      </c>
      <c r="G66" s="236">
        <v>0</v>
      </c>
      <c r="H66" s="236">
        <v>0</v>
      </c>
      <c r="I66" s="236">
        <v>0</v>
      </c>
      <c r="J66" s="237">
        <v>0</v>
      </c>
    </row>
    <row r="67" spans="1:10">
      <c r="A67" s="235">
        <v>41816</v>
      </c>
      <c r="B67" s="236" t="s">
        <v>354</v>
      </c>
      <c r="C67" s="236" t="s">
        <v>715</v>
      </c>
      <c r="D67" s="236" t="s">
        <v>356</v>
      </c>
      <c r="E67" s="240" t="s">
        <v>357</v>
      </c>
      <c r="F67" s="236" t="s">
        <v>362</v>
      </c>
      <c r="G67" s="236" t="s">
        <v>567</v>
      </c>
      <c r="H67" s="236" t="s">
        <v>567</v>
      </c>
      <c r="I67" s="236">
        <v>5</v>
      </c>
      <c r="J67" s="237">
        <v>1.5</v>
      </c>
    </row>
    <row r="68" spans="1:10">
      <c r="A68" s="235">
        <v>41820</v>
      </c>
      <c r="B68" s="236" t="s">
        <v>354</v>
      </c>
      <c r="C68" s="236" t="s">
        <v>718</v>
      </c>
      <c r="D68" s="236" t="s">
        <v>356</v>
      </c>
      <c r="E68" s="240" t="s">
        <v>357</v>
      </c>
      <c r="F68" s="236" t="s">
        <v>570</v>
      </c>
      <c r="G68" s="236">
        <v>2</v>
      </c>
      <c r="H68" s="236">
        <v>2</v>
      </c>
      <c r="I68" s="236">
        <v>4</v>
      </c>
      <c r="J68" s="237">
        <v>1.2</v>
      </c>
    </row>
    <row r="69" spans="1:10">
      <c r="A69" s="235">
        <v>41820</v>
      </c>
      <c r="B69" s="236" t="s">
        <v>354</v>
      </c>
      <c r="C69" s="236" t="s">
        <v>720</v>
      </c>
      <c r="D69" s="236" t="s">
        <v>356</v>
      </c>
      <c r="E69" s="240" t="s">
        <v>357</v>
      </c>
      <c r="F69" s="236" t="s">
        <v>721</v>
      </c>
      <c r="G69" s="236" t="s">
        <v>722</v>
      </c>
      <c r="H69" s="236" t="s">
        <v>722</v>
      </c>
      <c r="I69" s="236">
        <v>9</v>
      </c>
      <c r="J69" s="237">
        <v>2.7</v>
      </c>
    </row>
    <row r="70" spans="1:10">
      <c r="A70" s="235">
        <v>41820</v>
      </c>
      <c r="B70" s="236" t="s">
        <v>354</v>
      </c>
      <c r="C70" s="236" t="s">
        <v>734</v>
      </c>
      <c r="D70" s="236" t="s">
        <v>356</v>
      </c>
      <c r="E70" s="240" t="s">
        <v>357</v>
      </c>
      <c r="F70" s="236" t="s">
        <v>735</v>
      </c>
      <c r="G70" s="236">
        <v>5</v>
      </c>
      <c r="H70" s="236">
        <v>5</v>
      </c>
      <c r="I70" s="236">
        <v>10</v>
      </c>
      <c r="J70" s="237">
        <v>3</v>
      </c>
    </row>
    <row r="71" spans="1:10">
      <c r="A71" s="235">
        <v>41821</v>
      </c>
      <c r="B71" s="236" t="s">
        <v>354</v>
      </c>
      <c r="C71" s="236" t="s">
        <v>751</v>
      </c>
      <c r="D71" s="236" t="s">
        <v>356</v>
      </c>
      <c r="E71" s="240" t="s">
        <v>357</v>
      </c>
      <c r="F71" s="236" t="s">
        <v>752</v>
      </c>
      <c r="G71" s="236" t="s">
        <v>722</v>
      </c>
      <c r="H71" s="236" t="s">
        <v>722</v>
      </c>
      <c r="I71" s="236">
        <v>9</v>
      </c>
      <c r="J71" s="237">
        <v>2.7</v>
      </c>
    </row>
    <row r="72" spans="1:10">
      <c r="A72" s="235">
        <v>41821</v>
      </c>
      <c r="B72" s="236" t="s">
        <v>354</v>
      </c>
      <c r="C72" s="236" t="s">
        <v>755</v>
      </c>
      <c r="D72" s="236" t="s">
        <v>356</v>
      </c>
      <c r="E72" s="240" t="s">
        <v>357</v>
      </c>
      <c r="F72" s="236" t="s">
        <v>640</v>
      </c>
      <c r="G72" s="236" t="s">
        <v>567</v>
      </c>
      <c r="H72" s="236" t="s">
        <v>567</v>
      </c>
      <c r="I72" s="236">
        <v>5</v>
      </c>
      <c r="J72" s="237">
        <v>1.5</v>
      </c>
    </row>
    <row r="73" spans="1:10">
      <c r="A73" s="235">
        <v>41821</v>
      </c>
      <c r="B73" s="236" t="s">
        <v>508</v>
      </c>
      <c r="C73" s="236" t="s">
        <v>508</v>
      </c>
      <c r="D73" s="236" t="s">
        <v>105</v>
      </c>
      <c r="E73" s="240" t="s">
        <v>105</v>
      </c>
      <c r="F73" s="236" t="s">
        <v>105</v>
      </c>
      <c r="J73" s="237">
        <v>2.9</v>
      </c>
    </row>
    <row r="74" spans="1:10">
      <c r="A74" s="235">
        <v>41820</v>
      </c>
      <c r="B74" s="236" t="s">
        <v>584</v>
      </c>
      <c r="C74" s="236" t="s">
        <v>585</v>
      </c>
      <c r="D74" s="236" t="s">
        <v>584</v>
      </c>
      <c r="E74" s="240" t="s">
        <v>357</v>
      </c>
      <c r="F74" s="236" t="s">
        <v>752</v>
      </c>
      <c r="G74" s="236" t="s">
        <v>722</v>
      </c>
      <c r="H74" s="236" t="s">
        <v>722</v>
      </c>
      <c r="I74" s="236">
        <v>9</v>
      </c>
      <c r="J74" s="237">
        <v>2.7</v>
      </c>
    </row>
    <row r="75" spans="1:10">
      <c r="A75" s="235">
        <v>41821</v>
      </c>
      <c r="B75" s="236" t="s">
        <v>584</v>
      </c>
      <c r="C75" s="236" t="s">
        <v>585</v>
      </c>
      <c r="D75" s="236" t="s">
        <v>584</v>
      </c>
      <c r="E75" s="240" t="s">
        <v>357</v>
      </c>
      <c r="F75" s="236" t="s">
        <v>760</v>
      </c>
      <c r="G75" s="236" t="s">
        <v>722</v>
      </c>
      <c r="H75" s="236" t="s">
        <v>722</v>
      </c>
      <c r="I75" s="236">
        <v>9</v>
      </c>
      <c r="J75" s="237">
        <v>2.7</v>
      </c>
    </row>
    <row r="76" spans="1:10">
      <c r="A76" s="235">
        <v>41821</v>
      </c>
      <c r="B76" s="236" t="s">
        <v>584</v>
      </c>
      <c r="C76" s="236" t="s">
        <v>585</v>
      </c>
      <c r="D76" s="236" t="s">
        <v>584</v>
      </c>
      <c r="E76" s="240" t="s">
        <v>357</v>
      </c>
      <c r="F76" s="236" t="s">
        <v>773</v>
      </c>
      <c r="G76" s="236" t="s">
        <v>774</v>
      </c>
      <c r="H76" s="236" t="s">
        <v>774</v>
      </c>
      <c r="I76" s="236">
        <v>17</v>
      </c>
      <c r="J76" s="237">
        <v>5.0999999999999996</v>
      </c>
    </row>
    <row r="77" spans="1:10">
      <c r="A77" s="235">
        <v>41821</v>
      </c>
      <c r="B77" s="236" t="s">
        <v>584</v>
      </c>
      <c r="C77" s="236" t="s">
        <v>585</v>
      </c>
      <c r="D77" s="236" t="s">
        <v>584</v>
      </c>
      <c r="E77" s="240" t="s">
        <v>357</v>
      </c>
      <c r="F77" s="236" t="s">
        <v>779</v>
      </c>
      <c r="G77" s="236">
        <v>4.5</v>
      </c>
      <c r="H77" s="236">
        <v>4.5</v>
      </c>
      <c r="I77" s="236">
        <v>9</v>
      </c>
      <c r="J77" s="237">
        <v>2.7</v>
      </c>
    </row>
    <row r="78" spans="1:10">
      <c r="A78" s="235">
        <v>41822</v>
      </c>
      <c r="B78" s="236" t="s">
        <v>584</v>
      </c>
      <c r="C78" s="236" t="s">
        <v>585</v>
      </c>
      <c r="D78" s="236" t="s">
        <v>584</v>
      </c>
      <c r="E78" s="240" t="s">
        <v>357</v>
      </c>
      <c r="F78" s="236" t="s">
        <v>787</v>
      </c>
      <c r="G78" s="236" t="s">
        <v>788</v>
      </c>
      <c r="H78" s="236" t="s">
        <v>788</v>
      </c>
      <c r="I78" s="236">
        <v>7</v>
      </c>
      <c r="J78" s="237">
        <v>2.1</v>
      </c>
    </row>
    <row r="79" spans="1:10">
      <c r="A79" s="235">
        <v>41822</v>
      </c>
      <c r="B79" s="236" t="s">
        <v>354</v>
      </c>
      <c r="C79" s="236" t="s">
        <v>799</v>
      </c>
      <c r="D79" s="236" t="s">
        <v>356</v>
      </c>
      <c r="E79" s="240" t="s">
        <v>357</v>
      </c>
      <c r="F79" s="236" t="s">
        <v>800</v>
      </c>
      <c r="G79" s="236" t="s">
        <v>567</v>
      </c>
      <c r="H79" s="236" t="s">
        <v>567</v>
      </c>
      <c r="I79" s="236">
        <v>5</v>
      </c>
      <c r="J79" s="237">
        <v>1.5</v>
      </c>
    </row>
    <row r="80" spans="1:10">
      <c r="A80" s="235">
        <v>41822</v>
      </c>
      <c r="B80" s="236" t="s">
        <v>584</v>
      </c>
      <c r="C80" s="236" t="s">
        <v>585</v>
      </c>
      <c r="D80" s="236" t="s">
        <v>584</v>
      </c>
      <c r="E80" s="240" t="s">
        <v>357</v>
      </c>
      <c r="F80" s="236" t="s">
        <v>804</v>
      </c>
      <c r="G80" s="236" t="s">
        <v>567</v>
      </c>
      <c r="H80" s="236" t="s">
        <v>567</v>
      </c>
      <c r="I80" s="236">
        <v>5</v>
      </c>
      <c r="J80" s="237">
        <v>1.5</v>
      </c>
    </row>
    <row r="81" spans="1:10">
      <c r="A81" s="235">
        <v>41822</v>
      </c>
      <c r="B81" s="236" t="s">
        <v>354</v>
      </c>
      <c r="C81" s="236" t="s">
        <v>812</v>
      </c>
      <c r="D81" s="236" t="s">
        <v>356</v>
      </c>
      <c r="E81" s="240" t="s">
        <v>357</v>
      </c>
      <c r="F81" s="236" t="s">
        <v>813</v>
      </c>
      <c r="G81" s="236">
        <v>2</v>
      </c>
      <c r="H81" s="236">
        <v>2</v>
      </c>
      <c r="I81" s="236">
        <v>4</v>
      </c>
      <c r="J81" s="237">
        <v>1.2</v>
      </c>
    </row>
    <row r="82" spans="1:10">
      <c r="A82" s="235">
        <v>41821</v>
      </c>
      <c r="B82" s="236" t="s">
        <v>584</v>
      </c>
      <c r="C82" s="236" t="s">
        <v>585</v>
      </c>
      <c r="D82" s="236" t="s">
        <v>584</v>
      </c>
      <c r="E82" s="240" t="s">
        <v>357</v>
      </c>
      <c r="F82" s="236" t="s">
        <v>815</v>
      </c>
      <c r="G82" s="236">
        <v>2</v>
      </c>
      <c r="H82" s="236">
        <v>2</v>
      </c>
      <c r="I82" s="236">
        <v>4</v>
      </c>
      <c r="J82" s="237">
        <v>1.2</v>
      </c>
    </row>
    <row r="83" spans="1:10">
      <c r="A83" s="235">
        <v>41822</v>
      </c>
      <c r="B83" s="236" t="s">
        <v>584</v>
      </c>
      <c r="C83" s="236" t="s">
        <v>585</v>
      </c>
      <c r="D83" s="236" t="s">
        <v>584</v>
      </c>
      <c r="E83" s="240" t="s">
        <v>357</v>
      </c>
      <c r="F83" s="236" t="s">
        <v>830</v>
      </c>
      <c r="G83" s="236" t="s">
        <v>567</v>
      </c>
      <c r="H83" s="236" t="s">
        <v>567</v>
      </c>
      <c r="I83" s="236">
        <v>5</v>
      </c>
      <c r="J83" s="237">
        <v>1.5</v>
      </c>
    </row>
    <row r="84" spans="1:10">
      <c r="A84" s="235">
        <v>41823</v>
      </c>
      <c r="B84" s="236" t="s">
        <v>354</v>
      </c>
      <c r="C84" s="236" t="s">
        <v>834</v>
      </c>
      <c r="D84" s="236" t="s">
        <v>356</v>
      </c>
      <c r="E84" s="240" t="s">
        <v>357</v>
      </c>
      <c r="F84" s="236" t="s">
        <v>835</v>
      </c>
      <c r="G84" s="236" t="s">
        <v>567</v>
      </c>
      <c r="H84" s="236" t="s">
        <v>567</v>
      </c>
      <c r="I84" s="236">
        <v>5</v>
      </c>
      <c r="J84" s="237">
        <v>1.5</v>
      </c>
    </row>
    <row r="85" spans="1:10">
      <c r="A85" s="235">
        <v>41823</v>
      </c>
      <c r="B85" s="236" t="s">
        <v>584</v>
      </c>
      <c r="C85" s="236" t="s">
        <v>585</v>
      </c>
      <c r="D85" s="236" t="s">
        <v>584</v>
      </c>
      <c r="E85" s="240" t="s">
        <v>357</v>
      </c>
      <c r="F85" s="236" t="s">
        <v>842</v>
      </c>
      <c r="G85" s="236" t="s">
        <v>788</v>
      </c>
      <c r="H85" s="236" t="s">
        <v>788</v>
      </c>
      <c r="I85" s="236">
        <v>7</v>
      </c>
      <c r="J85" s="237">
        <v>2.1</v>
      </c>
    </row>
    <row r="86" spans="1:10">
      <c r="A86" s="235">
        <v>41824</v>
      </c>
      <c r="B86" s="236" t="s">
        <v>354</v>
      </c>
      <c r="C86" s="236" t="s">
        <v>844</v>
      </c>
      <c r="D86" s="236" t="s">
        <v>356</v>
      </c>
      <c r="E86" s="240" t="s">
        <v>357</v>
      </c>
      <c r="F86" s="236" t="s">
        <v>845</v>
      </c>
      <c r="G86" s="236" t="s">
        <v>788</v>
      </c>
      <c r="H86" s="236" t="s">
        <v>788</v>
      </c>
      <c r="I86" s="236">
        <v>7</v>
      </c>
      <c r="J86" s="237">
        <v>2.1</v>
      </c>
    </row>
    <row r="87" spans="1:10">
      <c r="A87" s="235">
        <v>41824</v>
      </c>
      <c r="B87" s="236" t="s">
        <v>354</v>
      </c>
      <c r="C87" s="236" t="s">
        <v>850</v>
      </c>
      <c r="D87" s="236" t="s">
        <v>356</v>
      </c>
      <c r="E87" s="240" t="s">
        <v>357</v>
      </c>
      <c r="F87" s="236" t="s">
        <v>851</v>
      </c>
      <c r="G87" s="236" t="s">
        <v>567</v>
      </c>
      <c r="H87" s="236" t="s">
        <v>567</v>
      </c>
      <c r="I87" s="236">
        <v>5</v>
      </c>
      <c r="J87" s="237">
        <v>1.5</v>
      </c>
    </row>
    <row r="88" spans="1:10">
      <c r="A88" s="235">
        <v>41825</v>
      </c>
      <c r="B88" s="236" t="s">
        <v>584</v>
      </c>
      <c r="C88" s="236" t="s">
        <v>585</v>
      </c>
      <c r="D88" s="236" t="s">
        <v>584</v>
      </c>
      <c r="E88" s="240" t="s">
        <v>357</v>
      </c>
      <c r="F88" s="236" t="s">
        <v>861</v>
      </c>
      <c r="G88" s="236" t="s">
        <v>862</v>
      </c>
      <c r="H88" s="236" t="s">
        <v>862</v>
      </c>
      <c r="I88" s="236">
        <v>5.6</v>
      </c>
      <c r="J88" s="237">
        <v>1.68</v>
      </c>
    </row>
    <row r="89" spans="1:10">
      <c r="A89" s="235">
        <v>41827</v>
      </c>
      <c r="B89" s="236" t="s">
        <v>354</v>
      </c>
      <c r="C89" s="236" t="s">
        <v>864</v>
      </c>
      <c r="D89" s="236" t="s">
        <v>356</v>
      </c>
      <c r="E89" s="240" t="s">
        <v>357</v>
      </c>
      <c r="F89" s="236" t="s">
        <v>865</v>
      </c>
      <c r="G89" s="236" t="s">
        <v>862</v>
      </c>
      <c r="H89" s="236" t="s">
        <v>862</v>
      </c>
      <c r="I89" s="236">
        <v>5.6</v>
      </c>
      <c r="J89" s="237">
        <v>1.68</v>
      </c>
    </row>
    <row r="90" spans="1:10">
      <c r="A90" s="235">
        <v>41825</v>
      </c>
      <c r="B90" s="236" t="s">
        <v>584</v>
      </c>
      <c r="C90" s="236" t="s">
        <v>585</v>
      </c>
      <c r="D90" s="236" t="s">
        <v>584</v>
      </c>
      <c r="E90" s="240" t="s">
        <v>357</v>
      </c>
      <c r="F90" s="236" t="s">
        <v>874</v>
      </c>
      <c r="G90" s="236">
        <v>1</v>
      </c>
      <c r="H90" s="236">
        <v>1</v>
      </c>
      <c r="I90" s="236">
        <v>2</v>
      </c>
      <c r="J90" s="237">
        <v>0.6</v>
      </c>
    </row>
    <row r="91" spans="1:10">
      <c r="A91" s="235">
        <v>41827</v>
      </c>
      <c r="B91" s="236" t="s">
        <v>354</v>
      </c>
      <c r="C91" s="236" t="s">
        <v>877</v>
      </c>
      <c r="D91" s="236" t="s">
        <v>356</v>
      </c>
      <c r="E91" s="240" t="s">
        <v>357</v>
      </c>
      <c r="F91" s="236" t="s">
        <v>878</v>
      </c>
      <c r="G91" s="236">
        <v>1</v>
      </c>
      <c r="H91" s="236">
        <v>1</v>
      </c>
      <c r="I91" s="236">
        <v>2</v>
      </c>
      <c r="J91" s="237">
        <v>0.6</v>
      </c>
    </row>
    <row r="92" spans="1:10">
      <c r="A92" s="235">
        <v>41827</v>
      </c>
      <c r="B92" s="236" t="s">
        <v>584</v>
      </c>
      <c r="C92" s="236" t="s">
        <v>585</v>
      </c>
      <c r="D92" s="236" t="s">
        <v>584</v>
      </c>
      <c r="E92" s="240" t="s">
        <v>357</v>
      </c>
      <c r="F92" s="236" t="s">
        <v>887</v>
      </c>
      <c r="G92" s="236">
        <v>5</v>
      </c>
      <c r="H92" s="236">
        <v>5</v>
      </c>
      <c r="I92" s="236">
        <v>10</v>
      </c>
      <c r="J92" s="237">
        <v>3</v>
      </c>
    </row>
    <row r="93" spans="1:10">
      <c r="A93" s="235">
        <v>41827</v>
      </c>
      <c r="B93" s="236" t="s">
        <v>584</v>
      </c>
      <c r="C93" s="236" t="s">
        <v>585</v>
      </c>
      <c r="D93" s="236" t="s">
        <v>584</v>
      </c>
      <c r="E93" s="240" t="s">
        <v>357</v>
      </c>
      <c r="F93" s="236" t="s">
        <v>892</v>
      </c>
      <c r="G93" s="236" t="s">
        <v>702</v>
      </c>
      <c r="H93" s="236" t="s">
        <v>702</v>
      </c>
      <c r="I93" s="236">
        <v>13</v>
      </c>
      <c r="J93" s="237">
        <v>3.9</v>
      </c>
    </row>
    <row r="94" spans="1:10">
      <c r="A94" s="235">
        <v>41827</v>
      </c>
      <c r="B94" s="236" t="s">
        <v>354</v>
      </c>
      <c r="C94" s="236" t="s">
        <v>899</v>
      </c>
      <c r="D94" s="236" t="s">
        <v>356</v>
      </c>
      <c r="E94" s="240" t="s">
        <v>357</v>
      </c>
      <c r="F94" s="236" t="s">
        <v>900</v>
      </c>
      <c r="G94" s="236">
        <v>8</v>
      </c>
      <c r="H94" s="236">
        <v>8</v>
      </c>
      <c r="I94" s="236">
        <v>16</v>
      </c>
      <c r="J94" s="237">
        <v>4.8</v>
      </c>
    </row>
    <row r="95" spans="1:10">
      <c r="A95" s="235">
        <v>41828</v>
      </c>
      <c r="B95" s="236" t="s">
        <v>584</v>
      </c>
      <c r="C95" s="236" t="s">
        <v>585</v>
      </c>
      <c r="D95" s="236" t="s">
        <v>584</v>
      </c>
      <c r="E95" s="240" t="s">
        <v>357</v>
      </c>
      <c r="F95" s="236" t="s">
        <v>937</v>
      </c>
      <c r="G95" s="236">
        <v>5</v>
      </c>
      <c r="H95" s="236">
        <v>5</v>
      </c>
      <c r="I95" s="236">
        <v>10</v>
      </c>
      <c r="J95" s="237">
        <v>3</v>
      </c>
    </row>
    <row r="96" spans="1:10">
      <c r="A96" s="235">
        <v>41829</v>
      </c>
      <c r="B96" s="236" t="s">
        <v>354</v>
      </c>
      <c r="C96" s="236" t="s">
        <v>939</v>
      </c>
      <c r="D96" s="236" t="s">
        <v>356</v>
      </c>
      <c r="E96" s="240" t="s">
        <v>357</v>
      </c>
      <c r="F96" s="236" t="s">
        <v>940</v>
      </c>
      <c r="G96" s="236">
        <v>5</v>
      </c>
      <c r="H96" s="236">
        <v>5</v>
      </c>
      <c r="I96" s="236">
        <v>10</v>
      </c>
      <c r="J96" s="237">
        <v>3</v>
      </c>
    </row>
    <row r="97" spans="1:10">
      <c r="A97" s="235">
        <v>41829</v>
      </c>
      <c r="B97" s="236" t="s">
        <v>354</v>
      </c>
      <c r="C97" s="236" t="s">
        <v>943</v>
      </c>
      <c r="D97" s="236" t="s">
        <v>356</v>
      </c>
      <c r="E97" s="240" t="s">
        <v>357</v>
      </c>
      <c r="F97" s="236" t="s">
        <v>800</v>
      </c>
      <c r="G97" s="236" t="s">
        <v>567</v>
      </c>
      <c r="H97" s="236" t="s">
        <v>567</v>
      </c>
      <c r="I97" s="236">
        <v>5</v>
      </c>
      <c r="J97" s="237">
        <v>1.5</v>
      </c>
    </row>
    <row r="98" spans="1:10">
      <c r="A98" s="235">
        <v>41834</v>
      </c>
      <c r="B98" s="236" t="s">
        <v>584</v>
      </c>
      <c r="C98" s="236" t="s">
        <v>585</v>
      </c>
      <c r="D98" s="236" t="s">
        <v>584</v>
      </c>
      <c r="E98" s="240" t="s">
        <v>357</v>
      </c>
      <c r="F98" s="236" t="s">
        <v>961</v>
      </c>
      <c r="G98" s="236" t="s">
        <v>962</v>
      </c>
      <c r="H98" s="236" t="s">
        <v>962</v>
      </c>
      <c r="I98" s="236">
        <v>1.4</v>
      </c>
      <c r="J98" s="237">
        <v>0.42</v>
      </c>
    </row>
    <row r="99" spans="1:10">
      <c r="A99" s="235">
        <v>41830</v>
      </c>
      <c r="B99" s="236" t="s">
        <v>584</v>
      </c>
      <c r="C99" s="236" t="s">
        <v>585</v>
      </c>
      <c r="D99" s="236" t="s">
        <v>584</v>
      </c>
      <c r="E99" s="240" t="s">
        <v>357</v>
      </c>
      <c r="F99" s="236" t="s">
        <v>966</v>
      </c>
      <c r="G99" s="236">
        <v>4</v>
      </c>
      <c r="H99" s="236">
        <v>4</v>
      </c>
      <c r="I99" s="236">
        <v>8</v>
      </c>
      <c r="J99" s="237">
        <v>2.4</v>
      </c>
    </row>
    <row r="100" spans="1:10">
      <c r="A100" s="235">
        <v>41834</v>
      </c>
      <c r="B100" s="236" t="s">
        <v>354</v>
      </c>
      <c r="C100" s="236" t="s">
        <v>971</v>
      </c>
      <c r="D100" s="236" t="s">
        <v>356</v>
      </c>
      <c r="E100" s="240" t="s">
        <v>357</v>
      </c>
      <c r="F100" s="236" t="s">
        <v>972</v>
      </c>
      <c r="G100" s="236" t="s">
        <v>567</v>
      </c>
      <c r="H100" s="236" t="s">
        <v>567</v>
      </c>
      <c r="I100" s="236">
        <v>5</v>
      </c>
      <c r="J100" s="237">
        <v>1.5</v>
      </c>
    </row>
    <row r="101" spans="1:10">
      <c r="A101" s="235">
        <v>41834</v>
      </c>
      <c r="B101" s="236" t="s">
        <v>354</v>
      </c>
      <c r="C101" s="236" t="s">
        <v>975</v>
      </c>
      <c r="D101" s="236" t="s">
        <v>356</v>
      </c>
      <c r="E101" s="240" t="s">
        <v>357</v>
      </c>
      <c r="F101" s="236" t="s">
        <v>976</v>
      </c>
      <c r="G101" s="236">
        <v>4</v>
      </c>
      <c r="H101" s="236">
        <v>4</v>
      </c>
      <c r="I101" s="236">
        <v>8</v>
      </c>
      <c r="J101" s="237">
        <v>2.4</v>
      </c>
    </row>
    <row r="102" spans="1:10">
      <c r="A102" s="235">
        <v>41835</v>
      </c>
      <c r="B102" s="236" t="s">
        <v>354</v>
      </c>
      <c r="C102" s="236" t="s">
        <v>981</v>
      </c>
      <c r="D102" s="236" t="s">
        <v>356</v>
      </c>
      <c r="E102" s="240" t="s">
        <v>357</v>
      </c>
      <c r="F102" s="236" t="s">
        <v>358</v>
      </c>
      <c r="G102" s="236">
        <v>2</v>
      </c>
      <c r="H102" s="236">
        <v>2</v>
      </c>
      <c r="I102" s="236">
        <v>4</v>
      </c>
      <c r="J102" s="237">
        <v>1.2</v>
      </c>
    </row>
    <row r="103" spans="1:10">
      <c r="A103" s="235">
        <v>41835</v>
      </c>
      <c r="B103" s="236" t="s">
        <v>354</v>
      </c>
      <c r="C103" s="236" t="s">
        <v>987</v>
      </c>
      <c r="D103" s="236" t="s">
        <v>356</v>
      </c>
      <c r="E103" s="240" t="s">
        <v>357</v>
      </c>
      <c r="F103" s="236" t="s">
        <v>988</v>
      </c>
      <c r="G103" s="236" t="s">
        <v>702</v>
      </c>
      <c r="H103" s="236" t="s">
        <v>702</v>
      </c>
      <c r="I103" s="236">
        <v>13</v>
      </c>
      <c r="J103" s="237">
        <v>3.9</v>
      </c>
    </row>
    <row r="104" spans="1:10">
      <c r="A104" s="235">
        <v>41831</v>
      </c>
      <c r="B104" s="236" t="s">
        <v>584</v>
      </c>
      <c r="C104" s="236" t="s">
        <v>585</v>
      </c>
      <c r="D104" s="236" t="s">
        <v>584</v>
      </c>
      <c r="E104" s="240" t="s">
        <v>357</v>
      </c>
      <c r="F104" s="236" t="s">
        <v>995</v>
      </c>
      <c r="G104" s="236">
        <v>1</v>
      </c>
      <c r="H104" s="236">
        <v>1</v>
      </c>
      <c r="I104" s="236">
        <v>2</v>
      </c>
      <c r="J104" s="237">
        <v>0.6</v>
      </c>
    </row>
    <row r="105" spans="1:10">
      <c r="A105" s="235">
        <v>41835</v>
      </c>
      <c r="B105" s="236" t="s">
        <v>354</v>
      </c>
      <c r="C105" s="236" t="s">
        <v>999</v>
      </c>
      <c r="D105" s="236" t="s">
        <v>356</v>
      </c>
      <c r="E105" s="240" t="s">
        <v>357</v>
      </c>
      <c r="F105" s="236" t="s">
        <v>1000</v>
      </c>
      <c r="G105" s="236">
        <v>1</v>
      </c>
      <c r="H105" s="236">
        <v>1</v>
      </c>
      <c r="I105" s="236">
        <v>2</v>
      </c>
      <c r="J105" s="237">
        <v>0.6</v>
      </c>
    </row>
    <row r="106" spans="1:10">
      <c r="A106" s="235">
        <v>41829</v>
      </c>
      <c r="B106" s="236" t="s">
        <v>584</v>
      </c>
      <c r="C106" s="236" t="s">
        <v>585</v>
      </c>
      <c r="D106" s="236" t="s">
        <v>584</v>
      </c>
      <c r="E106" s="240" t="s">
        <v>357</v>
      </c>
      <c r="F106" s="236" t="s">
        <v>1009</v>
      </c>
      <c r="G106" s="236" t="s">
        <v>1010</v>
      </c>
      <c r="H106" s="236" t="s">
        <v>1010</v>
      </c>
      <c r="I106" s="236">
        <v>3</v>
      </c>
      <c r="J106" s="237">
        <v>0.9</v>
      </c>
    </row>
    <row r="107" spans="1:10">
      <c r="A107" s="235">
        <v>41835</v>
      </c>
      <c r="B107" s="236" t="s">
        <v>354</v>
      </c>
      <c r="C107" s="236" t="s">
        <v>1014</v>
      </c>
      <c r="D107" s="236" t="s">
        <v>356</v>
      </c>
      <c r="E107" s="240" t="s">
        <v>357</v>
      </c>
      <c r="F107" s="236" t="s">
        <v>1015</v>
      </c>
      <c r="G107" s="236" t="s">
        <v>1010</v>
      </c>
      <c r="H107" s="236" t="s">
        <v>1010</v>
      </c>
      <c r="I107" s="236">
        <v>3</v>
      </c>
      <c r="J107" s="237">
        <v>0.9</v>
      </c>
    </row>
    <row r="108" spans="1:10">
      <c r="A108" s="235">
        <v>41829</v>
      </c>
      <c r="B108" s="236" t="s">
        <v>584</v>
      </c>
      <c r="C108" s="236" t="s">
        <v>585</v>
      </c>
      <c r="D108" s="236" t="s">
        <v>584</v>
      </c>
      <c r="E108" s="240" t="s">
        <v>357</v>
      </c>
      <c r="F108" s="236" t="s">
        <v>1017</v>
      </c>
      <c r="G108" s="236" t="s">
        <v>702</v>
      </c>
      <c r="H108" s="236" t="s">
        <v>702</v>
      </c>
      <c r="I108" s="236">
        <v>13</v>
      </c>
      <c r="J108" s="237">
        <v>3.9</v>
      </c>
    </row>
    <row r="109" spans="1:10">
      <c r="A109" s="235">
        <v>41834</v>
      </c>
      <c r="B109" s="236" t="s">
        <v>584</v>
      </c>
      <c r="C109" s="236" t="s">
        <v>585</v>
      </c>
      <c r="D109" s="236" t="s">
        <v>584</v>
      </c>
      <c r="E109" s="240" t="s">
        <v>357</v>
      </c>
      <c r="F109" s="236" t="s">
        <v>1024</v>
      </c>
      <c r="G109" s="236" t="s">
        <v>1025</v>
      </c>
      <c r="H109" s="236" t="s">
        <v>1025</v>
      </c>
      <c r="I109" s="236">
        <v>11</v>
      </c>
      <c r="J109" s="237">
        <v>3.3</v>
      </c>
    </row>
    <row r="110" spans="1:10">
      <c r="A110" s="235">
        <v>41835</v>
      </c>
      <c r="B110" s="236" t="s">
        <v>354</v>
      </c>
      <c r="C110" s="236" t="s">
        <v>1029</v>
      </c>
      <c r="D110" s="236" t="s">
        <v>356</v>
      </c>
      <c r="E110" s="240" t="s">
        <v>357</v>
      </c>
      <c r="F110" s="236" t="s">
        <v>1030</v>
      </c>
      <c r="G110" s="236" t="s">
        <v>1025</v>
      </c>
      <c r="H110" s="236" t="s">
        <v>1025</v>
      </c>
      <c r="I110" s="236">
        <v>11</v>
      </c>
      <c r="J110" s="237">
        <v>3.3</v>
      </c>
    </row>
    <row r="111" spans="1:10">
      <c r="A111" s="235">
        <v>41836</v>
      </c>
      <c r="B111" s="236" t="s">
        <v>584</v>
      </c>
      <c r="C111" s="236" t="s">
        <v>585</v>
      </c>
      <c r="D111" s="236" t="s">
        <v>584</v>
      </c>
      <c r="E111" s="240" t="s">
        <v>357</v>
      </c>
      <c r="F111" s="236" t="s">
        <v>1038</v>
      </c>
      <c r="G111" s="236">
        <v>6</v>
      </c>
      <c r="H111" s="236">
        <v>6</v>
      </c>
      <c r="I111" s="236">
        <v>12</v>
      </c>
      <c r="J111" s="237">
        <v>3.6</v>
      </c>
    </row>
    <row r="112" spans="1:10">
      <c r="A112" s="235">
        <v>41838</v>
      </c>
      <c r="B112" s="236" t="s">
        <v>354</v>
      </c>
      <c r="C112" s="236" t="s">
        <v>1042</v>
      </c>
      <c r="D112" s="236" t="s">
        <v>356</v>
      </c>
      <c r="E112" s="240" t="s">
        <v>357</v>
      </c>
      <c r="F112" s="236" t="s">
        <v>1043</v>
      </c>
      <c r="G112" s="236">
        <v>6</v>
      </c>
      <c r="H112" s="236">
        <v>6</v>
      </c>
      <c r="I112" s="236">
        <v>12</v>
      </c>
      <c r="J112" s="237">
        <v>3.6</v>
      </c>
    </row>
    <row r="113" spans="1:10">
      <c r="A113" s="235">
        <v>41837</v>
      </c>
      <c r="B113" s="236" t="s">
        <v>354</v>
      </c>
      <c r="C113" s="236" t="s">
        <v>1046</v>
      </c>
      <c r="D113" s="236" t="s">
        <v>356</v>
      </c>
      <c r="E113" s="240" t="s">
        <v>357</v>
      </c>
      <c r="F113" s="236" t="s">
        <v>600</v>
      </c>
      <c r="G113" s="236">
        <v>5</v>
      </c>
      <c r="H113" s="236">
        <v>5</v>
      </c>
      <c r="I113" s="236">
        <v>10</v>
      </c>
      <c r="J113" s="237">
        <v>3</v>
      </c>
    </row>
    <row r="114" spans="1:10">
      <c r="A114" s="235">
        <v>41837</v>
      </c>
      <c r="B114" s="236" t="s">
        <v>354</v>
      </c>
      <c r="C114" s="236" t="s">
        <v>1056</v>
      </c>
      <c r="D114" s="236" t="s">
        <v>356</v>
      </c>
      <c r="E114" s="240" t="s">
        <v>357</v>
      </c>
      <c r="F114" s="236" t="s">
        <v>1057</v>
      </c>
      <c r="G114" s="236">
        <v>4</v>
      </c>
      <c r="H114" s="236">
        <v>4</v>
      </c>
      <c r="I114" s="236">
        <v>8</v>
      </c>
      <c r="J114" s="237">
        <v>2.4</v>
      </c>
    </row>
    <row r="115" spans="1:10">
      <c r="A115" s="235">
        <v>41841</v>
      </c>
      <c r="B115" s="236" t="s">
        <v>354</v>
      </c>
      <c r="C115" s="236" t="s">
        <v>1069</v>
      </c>
      <c r="D115" s="236" t="s">
        <v>356</v>
      </c>
      <c r="E115" s="240" t="s">
        <v>357</v>
      </c>
      <c r="F115" s="236" t="s">
        <v>1070</v>
      </c>
      <c r="G115" s="236" t="s">
        <v>962</v>
      </c>
      <c r="H115" s="236" t="s">
        <v>962</v>
      </c>
      <c r="I115" s="236">
        <v>1.4</v>
      </c>
      <c r="J115" s="237">
        <v>0.42</v>
      </c>
    </row>
    <row r="116" spans="1:10">
      <c r="A116" s="235">
        <v>41841</v>
      </c>
      <c r="B116" s="236" t="s">
        <v>354</v>
      </c>
      <c r="C116" s="236" t="s">
        <v>1074</v>
      </c>
      <c r="D116" s="236" t="s">
        <v>356</v>
      </c>
      <c r="E116" s="240" t="s">
        <v>357</v>
      </c>
      <c r="F116" s="236" t="s">
        <v>370</v>
      </c>
      <c r="G116" s="236" t="s">
        <v>606</v>
      </c>
      <c r="H116" s="236" t="s">
        <v>606</v>
      </c>
      <c r="I116" s="236">
        <v>1</v>
      </c>
      <c r="J116" s="237">
        <v>0.3</v>
      </c>
    </row>
    <row r="117" spans="1:10">
      <c r="A117" s="235">
        <v>41841</v>
      </c>
      <c r="B117" s="236" t="s">
        <v>354</v>
      </c>
      <c r="C117" s="236" t="s">
        <v>1078</v>
      </c>
      <c r="D117" s="236" t="s">
        <v>356</v>
      </c>
      <c r="E117" s="240" t="s">
        <v>357</v>
      </c>
      <c r="F117" s="236" t="s">
        <v>800</v>
      </c>
      <c r="G117" s="236" t="s">
        <v>567</v>
      </c>
      <c r="H117" s="236" t="s">
        <v>567</v>
      </c>
      <c r="I117" s="236">
        <v>5</v>
      </c>
      <c r="J117" s="237">
        <v>1.5</v>
      </c>
    </row>
    <row r="118" spans="1:10">
      <c r="A118" s="235">
        <v>41841</v>
      </c>
      <c r="B118" s="236" t="s">
        <v>354</v>
      </c>
      <c r="C118" s="236" t="s">
        <v>1081</v>
      </c>
      <c r="D118" s="236" t="s">
        <v>356</v>
      </c>
      <c r="E118" s="240" t="s">
        <v>357</v>
      </c>
      <c r="F118" s="236" t="s">
        <v>940</v>
      </c>
      <c r="G118" s="236">
        <v>5</v>
      </c>
      <c r="H118" s="236">
        <v>5</v>
      </c>
      <c r="I118" s="236">
        <v>10</v>
      </c>
      <c r="J118" s="237">
        <v>3</v>
      </c>
    </row>
    <row r="119" spans="1:10">
      <c r="A119" s="235">
        <v>41838</v>
      </c>
      <c r="B119" s="236" t="s">
        <v>584</v>
      </c>
      <c r="C119" s="236" t="s">
        <v>585</v>
      </c>
      <c r="D119" s="236" t="s">
        <v>584</v>
      </c>
      <c r="E119" s="240" t="s">
        <v>623</v>
      </c>
      <c r="F119" s="236" t="s">
        <v>1086</v>
      </c>
      <c r="G119" s="236">
        <v>2</v>
      </c>
      <c r="H119" s="236">
        <v>2</v>
      </c>
      <c r="I119" s="236">
        <v>4</v>
      </c>
      <c r="J119" s="237">
        <v>1.2</v>
      </c>
    </row>
    <row r="120" spans="1:10">
      <c r="A120" s="235">
        <v>41841</v>
      </c>
      <c r="B120" s="236" t="s">
        <v>584</v>
      </c>
      <c r="C120" s="236" t="s">
        <v>585</v>
      </c>
      <c r="D120" s="236" t="s">
        <v>584</v>
      </c>
      <c r="E120" s="240" t="s">
        <v>357</v>
      </c>
      <c r="F120" s="236" t="s">
        <v>1093</v>
      </c>
      <c r="G120" s="236">
        <v>5</v>
      </c>
      <c r="H120" s="236">
        <v>5</v>
      </c>
      <c r="I120" s="236">
        <v>10</v>
      </c>
      <c r="J120" s="237">
        <v>3</v>
      </c>
    </row>
    <row r="121" spans="1:10">
      <c r="A121" s="235">
        <v>41843</v>
      </c>
      <c r="B121" s="236" t="s">
        <v>354</v>
      </c>
      <c r="C121" s="236" t="s">
        <v>1096</v>
      </c>
      <c r="D121" s="236" t="s">
        <v>356</v>
      </c>
      <c r="E121" s="240" t="s">
        <v>357</v>
      </c>
      <c r="F121" s="236" t="s">
        <v>1097</v>
      </c>
      <c r="G121" s="236">
        <v>5</v>
      </c>
      <c r="H121" s="236">
        <v>5</v>
      </c>
      <c r="I121" s="236">
        <v>10</v>
      </c>
      <c r="J121" s="237">
        <v>3</v>
      </c>
    </row>
    <row r="122" spans="1:10">
      <c r="A122" s="235">
        <v>41843</v>
      </c>
      <c r="B122" s="236" t="s">
        <v>354</v>
      </c>
      <c r="C122" s="236" t="s">
        <v>1100</v>
      </c>
      <c r="D122" s="236" t="s">
        <v>356</v>
      </c>
      <c r="E122" s="240" t="s">
        <v>357</v>
      </c>
      <c r="F122" s="236" t="s">
        <v>851</v>
      </c>
      <c r="G122" s="236" t="s">
        <v>567</v>
      </c>
      <c r="H122" s="236" t="s">
        <v>567</v>
      </c>
      <c r="I122" s="236">
        <v>5</v>
      </c>
      <c r="J122" s="237">
        <v>1.5</v>
      </c>
    </row>
    <row r="123" spans="1:10">
      <c r="A123" s="235">
        <v>41841</v>
      </c>
      <c r="B123" s="236" t="s">
        <v>584</v>
      </c>
      <c r="C123" s="236" t="s">
        <v>585</v>
      </c>
      <c r="D123" s="236" t="s">
        <v>584</v>
      </c>
      <c r="E123" s="240" t="s">
        <v>357</v>
      </c>
      <c r="F123" s="236" t="s">
        <v>1106</v>
      </c>
      <c r="G123" s="236" t="s">
        <v>788</v>
      </c>
      <c r="H123" s="236" t="s">
        <v>788</v>
      </c>
      <c r="I123" s="236">
        <v>7</v>
      </c>
      <c r="J123" s="237">
        <v>2.1</v>
      </c>
    </row>
    <row r="124" spans="1:10">
      <c r="A124" s="235">
        <v>41843</v>
      </c>
      <c r="B124" s="236" t="s">
        <v>354</v>
      </c>
      <c r="C124" s="236" t="s">
        <v>1109</v>
      </c>
      <c r="D124" s="236" t="s">
        <v>356</v>
      </c>
      <c r="E124" s="240" t="s">
        <v>357</v>
      </c>
      <c r="F124" s="236" t="s">
        <v>1110</v>
      </c>
      <c r="G124" s="236" t="s">
        <v>788</v>
      </c>
      <c r="H124" s="236" t="s">
        <v>788</v>
      </c>
      <c r="I124" s="236">
        <v>7</v>
      </c>
      <c r="J124" s="237">
        <v>2.1</v>
      </c>
    </row>
    <row r="125" spans="1:10">
      <c r="A125" s="235">
        <v>41843</v>
      </c>
      <c r="B125" s="236" t="s">
        <v>354</v>
      </c>
      <c r="C125" s="236" t="s">
        <v>1114</v>
      </c>
      <c r="D125" s="236" t="s">
        <v>356</v>
      </c>
      <c r="E125" s="240" t="s">
        <v>357</v>
      </c>
      <c r="F125" s="236" t="s">
        <v>1115</v>
      </c>
      <c r="G125" s="236">
        <v>2</v>
      </c>
      <c r="H125" s="236">
        <v>2</v>
      </c>
      <c r="I125" s="236">
        <v>4</v>
      </c>
      <c r="J125" s="237">
        <v>1.2</v>
      </c>
    </row>
    <row r="126" spans="1:10">
      <c r="A126" s="235">
        <v>41842</v>
      </c>
      <c r="B126" s="236" t="s">
        <v>584</v>
      </c>
      <c r="C126" s="236" t="s">
        <v>585</v>
      </c>
      <c r="D126" s="236" t="s">
        <v>584</v>
      </c>
      <c r="E126" s="240" t="s">
        <v>357</v>
      </c>
      <c r="F126" s="236" t="s">
        <v>1122</v>
      </c>
      <c r="G126" s="236" t="s">
        <v>788</v>
      </c>
      <c r="H126" s="236" t="s">
        <v>788</v>
      </c>
      <c r="I126" s="236">
        <v>7</v>
      </c>
      <c r="J126" s="237">
        <v>2.1</v>
      </c>
    </row>
    <row r="127" spans="1:10">
      <c r="A127" s="235">
        <v>41842</v>
      </c>
      <c r="B127" s="236" t="s">
        <v>584</v>
      </c>
      <c r="C127" s="236" t="s">
        <v>585</v>
      </c>
      <c r="D127" s="236" t="s">
        <v>584</v>
      </c>
      <c r="E127" s="240" t="s">
        <v>357</v>
      </c>
      <c r="F127" s="236" t="s">
        <v>1127</v>
      </c>
      <c r="G127" s="236" t="s">
        <v>1128</v>
      </c>
      <c r="H127" s="236" t="s">
        <v>1128</v>
      </c>
      <c r="I127" s="236">
        <v>4.5999999999999996</v>
      </c>
      <c r="J127" s="237">
        <v>1.38</v>
      </c>
    </row>
    <row r="128" spans="1:10">
      <c r="A128" s="235">
        <v>41842</v>
      </c>
      <c r="B128" s="236" t="s">
        <v>584</v>
      </c>
      <c r="C128" s="236" t="s">
        <v>585</v>
      </c>
      <c r="D128" s="236" t="s">
        <v>584</v>
      </c>
      <c r="E128" s="240" t="s">
        <v>357</v>
      </c>
      <c r="F128" s="236" t="s">
        <v>1135</v>
      </c>
      <c r="G128" s="236">
        <v>5</v>
      </c>
      <c r="H128" s="236">
        <v>5</v>
      </c>
      <c r="I128" s="236">
        <v>10</v>
      </c>
      <c r="J128" s="237">
        <v>3</v>
      </c>
    </row>
    <row r="129" spans="1:10">
      <c r="A129" s="235">
        <v>41848</v>
      </c>
      <c r="B129" s="236" t="s">
        <v>354</v>
      </c>
      <c r="C129" s="236" t="s">
        <v>1144</v>
      </c>
      <c r="D129" s="236" t="s">
        <v>356</v>
      </c>
      <c r="E129" s="240" t="s">
        <v>357</v>
      </c>
      <c r="F129" s="236" t="s">
        <v>1145</v>
      </c>
      <c r="G129" s="236" t="s">
        <v>1128</v>
      </c>
      <c r="H129" s="236" t="s">
        <v>1128</v>
      </c>
      <c r="I129" s="236">
        <v>4.5999999999999996</v>
      </c>
      <c r="J129" s="237">
        <v>1.38</v>
      </c>
    </row>
    <row r="130" spans="1:10">
      <c r="A130" s="235">
        <v>41848</v>
      </c>
      <c r="B130" s="236" t="s">
        <v>354</v>
      </c>
      <c r="C130" s="236" t="s">
        <v>1148</v>
      </c>
      <c r="D130" s="236" t="s">
        <v>356</v>
      </c>
      <c r="E130" s="240" t="s">
        <v>357</v>
      </c>
      <c r="F130" s="236" t="s">
        <v>516</v>
      </c>
      <c r="G130" s="236" t="s">
        <v>702</v>
      </c>
      <c r="H130" s="236" t="s">
        <v>702</v>
      </c>
      <c r="I130" s="236">
        <v>13</v>
      </c>
      <c r="J130" s="237">
        <v>3.9</v>
      </c>
    </row>
    <row r="131" spans="1:10">
      <c r="A131" s="235">
        <v>41848</v>
      </c>
      <c r="B131" s="236" t="s">
        <v>354</v>
      </c>
      <c r="C131" s="236" t="s">
        <v>1151</v>
      </c>
      <c r="D131" s="236" t="s">
        <v>356</v>
      </c>
      <c r="E131" s="240" t="s">
        <v>357</v>
      </c>
      <c r="F131" s="236" t="s">
        <v>1043</v>
      </c>
      <c r="G131" s="236">
        <v>6</v>
      </c>
      <c r="H131" s="236">
        <v>6</v>
      </c>
      <c r="I131" s="236">
        <v>12</v>
      </c>
      <c r="J131" s="237">
        <v>3.6</v>
      </c>
    </row>
    <row r="132" spans="1:10">
      <c r="A132" s="235">
        <v>41845</v>
      </c>
      <c r="B132" s="236" t="s">
        <v>584</v>
      </c>
      <c r="C132" s="236" t="s">
        <v>585</v>
      </c>
      <c r="D132" s="236" t="s">
        <v>584</v>
      </c>
      <c r="E132" s="240" t="s">
        <v>357</v>
      </c>
      <c r="F132" s="236" t="s">
        <v>1158</v>
      </c>
      <c r="G132" s="236">
        <v>10</v>
      </c>
      <c r="H132" s="236">
        <v>10</v>
      </c>
      <c r="I132" s="236">
        <v>20</v>
      </c>
      <c r="J132" s="237">
        <v>6</v>
      </c>
    </row>
    <row r="133" spans="1:10">
      <c r="A133" s="235">
        <v>41849</v>
      </c>
      <c r="B133" s="236" t="s">
        <v>354</v>
      </c>
      <c r="C133" s="236" t="s">
        <v>1162</v>
      </c>
      <c r="D133" s="236" t="s">
        <v>356</v>
      </c>
      <c r="E133" s="240" t="s">
        <v>357</v>
      </c>
      <c r="F133" s="236" t="s">
        <v>1163</v>
      </c>
      <c r="G133" s="236">
        <v>10</v>
      </c>
      <c r="H133" s="236">
        <v>10</v>
      </c>
      <c r="I133" s="236">
        <v>20</v>
      </c>
      <c r="J133" s="237">
        <v>6</v>
      </c>
    </row>
    <row r="134" spans="1:10">
      <c r="A134" s="235">
        <v>41848</v>
      </c>
      <c r="B134" s="236" t="s">
        <v>584</v>
      </c>
      <c r="C134" s="236" t="s">
        <v>585</v>
      </c>
      <c r="D134" s="236" t="s">
        <v>584</v>
      </c>
      <c r="E134" s="240" t="s">
        <v>357</v>
      </c>
      <c r="F134" s="236" t="s">
        <v>1180</v>
      </c>
      <c r="G134" s="236" t="s">
        <v>1181</v>
      </c>
      <c r="H134" s="236" t="s">
        <v>1181</v>
      </c>
      <c r="I134" s="236">
        <v>29</v>
      </c>
      <c r="J134" s="237">
        <v>8.6999999999999993</v>
      </c>
    </row>
    <row r="135" spans="1:10">
      <c r="A135" s="235">
        <v>41851</v>
      </c>
      <c r="B135" s="236" t="s">
        <v>354</v>
      </c>
      <c r="C135" s="236" t="s">
        <v>1184</v>
      </c>
      <c r="D135" s="236" t="s">
        <v>356</v>
      </c>
      <c r="E135" s="240" t="s">
        <v>357</v>
      </c>
      <c r="F135" s="236" t="s">
        <v>1185</v>
      </c>
      <c r="G135" s="236" t="s">
        <v>1181</v>
      </c>
      <c r="H135" s="236" t="s">
        <v>1181</v>
      </c>
      <c r="I135" s="236">
        <v>29</v>
      </c>
      <c r="J135" s="237">
        <v>8.6999999999999993</v>
      </c>
    </row>
    <row r="136" spans="1:10" ht="26.25">
      <c r="A136" s="235">
        <v>41848</v>
      </c>
      <c r="B136" s="236" t="s">
        <v>584</v>
      </c>
      <c r="C136" s="236" t="s">
        <v>585</v>
      </c>
      <c r="D136" s="236" t="s">
        <v>584</v>
      </c>
      <c r="E136" s="240" t="s">
        <v>1192</v>
      </c>
      <c r="F136" s="236" t="s">
        <v>1193</v>
      </c>
      <c r="G136" s="236">
        <v>11</v>
      </c>
      <c r="H136" s="236">
        <v>11</v>
      </c>
      <c r="I136" s="236">
        <v>22</v>
      </c>
      <c r="J136" s="237">
        <v>6.6</v>
      </c>
    </row>
    <row r="137" spans="1:10">
      <c r="A137" s="235">
        <v>41851</v>
      </c>
      <c r="B137" s="236" t="s">
        <v>354</v>
      </c>
      <c r="C137" s="236" t="s">
        <v>1196</v>
      </c>
      <c r="D137" s="236" t="s">
        <v>356</v>
      </c>
      <c r="E137" s="240" t="s">
        <v>357</v>
      </c>
      <c r="F137" s="236" t="s">
        <v>1197</v>
      </c>
      <c r="G137" s="236" t="s">
        <v>774</v>
      </c>
      <c r="H137" s="236" t="s">
        <v>774</v>
      </c>
      <c r="I137" s="236">
        <v>17</v>
      </c>
      <c r="J137" s="237">
        <v>5.0999999999999996</v>
      </c>
    </row>
    <row r="138" spans="1:10">
      <c r="A138" s="235">
        <v>41851</v>
      </c>
      <c r="B138" s="236" t="s">
        <v>354</v>
      </c>
      <c r="C138" s="236" t="s">
        <v>1205</v>
      </c>
      <c r="D138" s="236" t="s">
        <v>356</v>
      </c>
      <c r="E138" s="240" t="s">
        <v>357</v>
      </c>
      <c r="F138" s="236" t="s">
        <v>1206</v>
      </c>
      <c r="G138" s="236" t="s">
        <v>722</v>
      </c>
      <c r="H138" s="236" t="s">
        <v>722</v>
      </c>
      <c r="I138" s="236">
        <v>9</v>
      </c>
      <c r="J138" s="237">
        <v>2.7</v>
      </c>
    </row>
    <row r="139" spans="1:10">
      <c r="A139" s="235">
        <v>41849</v>
      </c>
      <c r="B139" s="236" t="s">
        <v>584</v>
      </c>
      <c r="C139" s="236" t="s">
        <v>585</v>
      </c>
      <c r="D139" s="236" t="s">
        <v>584</v>
      </c>
      <c r="E139" s="240" t="s">
        <v>357</v>
      </c>
      <c r="F139" s="236" t="s">
        <v>1216</v>
      </c>
      <c r="G139" s="236">
        <v>3</v>
      </c>
      <c r="H139" s="236">
        <v>3</v>
      </c>
      <c r="I139" s="236">
        <v>6</v>
      </c>
      <c r="J139" s="237">
        <v>1.8</v>
      </c>
    </row>
    <row r="140" spans="1:10">
      <c r="A140" s="235">
        <v>41851</v>
      </c>
      <c r="B140" s="236" t="s">
        <v>354</v>
      </c>
      <c r="C140" s="236" t="s">
        <v>1220</v>
      </c>
      <c r="D140" s="236" t="s">
        <v>356</v>
      </c>
      <c r="E140" s="240" t="s">
        <v>357</v>
      </c>
      <c r="F140" s="236" t="s">
        <v>1221</v>
      </c>
      <c r="G140" s="236">
        <v>3</v>
      </c>
      <c r="H140" s="236">
        <v>3</v>
      </c>
      <c r="I140" s="236">
        <v>6</v>
      </c>
      <c r="J140" s="237">
        <v>1.8</v>
      </c>
    </row>
    <row r="141" spans="1:10">
      <c r="A141" s="235">
        <v>41851</v>
      </c>
      <c r="B141" s="236" t="s">
        <v>354</v>
      </c>
      <c r="C141" s="236" t="s">
        <v>1223</v>
      </c>
      <c r="D141" s="236" t="s">
        <v>356</v>
      </c>
      <c r="E141" s="240" t="s">
        <v>357</v>
      </c>
      <c r="F141" s="236" t="s">
        <v>721</v>
      </c>
      <c r="G141" s="236" t="s">
        <v>722</v>
      </c>
      <c r="H141" s="236" t="s">
        <v>722</v>
      </c>
      <c r="I141" s="236">
        <v>9</v>
      </c>
      <c r="J141" s="237">
        <v>2.7</v>
      </c>
    </row>
    <row r="142" spans="1:10">
      <c r="A142" s="235">
        <v>41855</v>
      </c>
      <c r="B142" s="236" t="s">
        <v>508</v>
      </c>
      <c r="C142" s="236" t="s">
        <v>508</v>
      </c>
      <c r="D142" s="236" t="s">
        <v>105</v>
      </c>
      <c r="E142" s="240" t="s">
        <v>105</v>
      </c>
      <c r="F142" s="236" t="s">
        <v>105</v>
      </c>
      <c r="J142" s="237">
        <v>2.6</v>
      </c>
    </row>
  </sheetData>
  <mergeCells count="2">
    <mergeCell ref="G3:I3"/>
    <mergeCell ref="A2:D2"/>
  </mergeCells>
  <pageMargins left="0.25" right="0.25" top="0.75" bottom="0.75" header="0.3" footer="0.3"/>
  <pageSetup paperSize="9" scale="9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2:E572"/>
  <sheetViews>
    <sheetView topLeftCell="A19" workbookViewId="0">
      <selection activeCell="B19" sqref="B19"/>
    </sheetView>
  </sheetViews>
  <sheetFormatPr baseColWidth="10" defaultRowHeight="15"/>
  <cols>
    <col min="1" max="1" width="11.42578125" style="48"/>
    <col min="2" max="2" width="42.42578125" customWidth="1"/>
    <col min="3" max="3" width="37.7109375" customWidth="1"/>
    <col min="5" max="5" width="11.42578125" style="48"/>
  </cols>
  <sheetData>
    <row r="2" spans="1:5">
      <c r="C2" t="s">
        <v>503</v>
      </c>
      <c r="D2" s="47" t="s">
        <v>502</v>
      </c>
      <c r="E2" s="261">
        <f>SUBTOTAL(9,E6:E59235)</f>
        <v>732</v>
      </c>
    </row>
    <row r="5" spans="1:5" ht="15.75" thickBot="1">
      <c r="A5" s="258" t="s">
        <v>77</v>
      </c>
      <c r="B5" s="258" t="s">
        <v>69</v>
      </c>
      <c r="C5" s="258" t="s">
        <v>427</v>
      </c>
      <c r="D5" s="258" t="s">
        <v>428</v>
      </c>
      <c r="E5" s="258" t="s">
        <v>456</v>
      </c>
    </row>
    <row r="6" spans="1:5">
      <c r="A6" s="259">
        <v>41682</v>
      </c>
      <c r="B6" s="257" t="s">
        <v>484</v>
      </c>
      <c r="C6" s="257" t="s">
        <v>485</v>
      </c>
      <c r="D6" s="257" t="s">
        <v>445</v>
      </c>
      <c r="E6" s="66">
        <v>16</v>
      </c>
    </row>
    <row r="7" spans="1:5">
      <c r="A7" s="260">
        <v>41683</v>
      </c>
      <c r="B7" s="256" t="s">
        <v>486</v>
      </c>
      <c r="C7" s="256" t="s">
        <v>487</v>
      </c>
      <c r="D7" s="256" t="s">
        <v>445</v>
      </c>
      <c r="E7" s="184">
        <v>8</v>
      </c>
    </row>
    <row r="8" spans="1:5">
      <c r="A8" s="260">
        <v>41724</v>
      </c>
      <c r="B8" s="256" t="s">
        <v>582</v>
      </c>
      <c r="C8" s="256" t="s">
        <v>583</v>
      </c>
      <c r="D8" s="256" t="s">
        <v>445</v>
      </c>
      <c r="E8" s="184">
        <v>15</v>
      </c>
    </row>
    <row r="9" spans="1:5">
      <c r="A9" s="260">
        <v>41725</v>
      </c>
      <c r="B9" s="256" t="s">
        <v>588</v>
      </c>
      <c r="C9" s="256" t="s">
        <v>589</v>
      </c>
      <c r="D9" s="256" t="s">
        <v>445</v>
      </c>
      <c r="E9" s="184">
        <v>15</v>
      </c>
    </row>
    <row r="10" spans="1:5">
      <c r="A10" s="260">
        <v>41726</v>
      </c>
      <c r="B10" s="256" t="s">
        <v>620</v>
      </c>
      <c r="C10" s="256" t="s">
        <v>621</v>
      </c>
      <c r="D10" s="256" t="s">
        <v>445</v>
      </c>
      <c r="E10" s="184">
        <v>15</v>
      </c>
    </row>
    <row r="11" spans="1:5">
      <c r="A11" s="260">
        <v>41821</v>
      </c>
      <c r="B11" s="256" t="s">
        <v>726</v>
      </c>
      <c r="C11" s="256" t="s">
        <v>732</v>
      </c>
      <c r="D11" s="256" t="s">
        <v>445</v>
      </c>
      <c r="E11" s="184">
        <v>24</v>
      </c>
    </row>
    <row r="12" spans="1:5">
      <c r="A12" s="260">
        <v>41820</v>
      </c>
      <c r="B12" s="256" t="s">
        <v>737</v>
      </c>
      <c r="C12" s="256" t="s">
        <v>738</v>
      </c>
      <c r="D12" s="256" t="s">
        <v>445</v>
      </c>
      <c r="E12" s="184">
        <v>10</v>
      </c>
    </row>
    <row r="13" spans="1:5">
      <c r="A13" s="260">
        <v>41819</v>
      </c>
      <c r="B13" s="256" t="s">
        <v>266</v>
      </c>
      <c r="C13" s="256" t="s">
        <v>265</v>
      </c>
      <c r="D13" s="256" t="s">
        <v>445</v>
      </c>
      <c r="E13" s="184">
        <v>15</v>
      </c>
    </row>
    <row r="14" spans="1:5">
      <c r="A14" s="260">
        <v>41816</v>
      </c>
      <c r="B14" s="256" t="s">
        <v>739</v>
      </c>
      <c r="C14" s="256" t="s">
        <v>740</v>
      </c>
      <c r="D14" s="256" t="s">
        <v>445</v>
      </c>
      <c r="E14" s="184">
        <v>15</v>
      </c>
    </row>
    <row r="15" spans="1:5">
      <c r="A15" s="260">
        <v>41820</v>
      </c>
      <c r="B15" s="256" t="s">
        <v>748</v>
      </c>
      <c r="C15" s="256" t="s">
        <v>749</v>
      </c>
      <c r="D15" s="256" t="s">
        <v>445</v>
      </c>
      <c r="E15" s="184">
        <v>15</v>
      </c>
    </row>
    <row r="16" spans="1:5">
      <c r="A16" s="260">
        <v>41821</v>
      </c>
      <c r="B16" s="256" t="s">
        <v>759</v>
      </c>
      <c r="C16" s="256" t="s">
        <v>761</v>
      </c>
      <c r="D16" s="256" t="s">
        <v>445</v>
      </c>
      <c r="E16" s="184">
        <v>15</v>
      </c>
    </row>
    <row r="17" spans="1:5">
      <c r="A17" s="260">
        <v>41821</v>
      </c>
      <c r="B17" s="256" t="s">
        <v>762</v>
      </c>
      <c r="C17" s="256" t="s">
        <v>766</v>
      </c>
      <c r="D17" s="256" t="s">
        <v>445</v>
      </c>
      <c r="E17" s="184">
        <v>20</v>
      </c>
    </row>
    <row r="18" spans="1:5">
      <c r="A18" s="260">
        <v>41821</v>
      </c>
      <c r="B18" s="256" t="s">
        <v>769</v>
      </c>
      <c r="C18" s="256" t="s">
        <v>775</v>
      </c>
      <c r="D18" s="256" t="s">
        <v>445</v>
      </c>
      <c r="E18" s="184">
        <v>20</v>
      </c>
    </row>
    <row r="19" spans="1:5">
      <c r="A19" s="260">
        <v>41821</v>
      </c>
      <c r="B19" s="256" t="s">
        <v>776</v>
      </c>
      <c r="C19" s="256" t="s">
        <v>779</v>
      </c>
      <c r="D19" s="256" t="s">
        <v>445</v>
      </c>
      <c r="E19" s="184">
        <v>20</v>
      </c>
    </row>
    <row r="20" spans="1:5">
      <c r="A20" s="260">
        <v>41822</v>
      </c>
      <c r="B20" s="256" t="s">
        <v>786</v>
      </c>
      <c r="C20" s="256" t="s">
        <v>787</v>
      </c>
      <c r="D20" s="256" t="s">
        <v>445</v>
      </c>
      <c r="E20" s="184">
        <v>15</v>
      </c>
    </row>
    <row r="21" spans="1:5">
      <c r="A21" s="260">
        <v>41816</v>
      </c>
      <c r="B21" s="256" t="s">
        <v>789</v>
      </c>
      <c r="C21" s="256"/>
      <c r="D21" s="256" t="s">
        <v>790</v>
      </c>
      <c r="E21" s="184">
        <v>5</v>
      </c>
    </row>
    <row r="22" spans="1:5">
      <c r="A22" s="260">
        <v>41821</v>
      </c>
      <c r="B22" s="256" t="s">
        <v>802</v>
      </c>
      <c r="C22" s="256" t="s">
        <v>803</v>
      </c>
      <c r="D22" s="256" t="s">
        <v>445</v>
      </c>
      <c r="E22" s="184">
        <v>10</v>
      </c>
    </row>
    <row r="23" spans="1:5">
      <c r="A23" s="260">
        <v>41821</v>
      </c>
      <c r="B23" s="256" t="s">
        <v>807</v>
      </c>
      <c r="C23" s="256" t="s">
        <v>816</v>
      </c>
      <c r="D23" s="256" t="s">
        <v>445</v>
      </c>
      <c r="E23" s="184">
        <v>15</v>
      </c>
    </row>
    <row r="24" spans="1:5">
      <c r="A24" s="260">
        <v>41823</v>
      </c>
      <c r="B24" s="256" t="s">
        <v>819</v>
      </c>
      <c r="C24" s="256" t="s">
        <v>822</v>
      </c>
      <c r="D24" s="256" t="s">
        <v>445</v>
      </c>
      <c r="E24" s="184">
        <v>20</v>
      </c>
    </row>
    <row r="25" spans="1:5">
      <c r="A25" s="260">
        <v>41823</v>
      </c>
      <c r="B25" s="256" t="s">
        <v>825</v>
      </c>
      <c r="C25" s="256" t="s">
        <v>826</v>
      </c>
      <c r="D25" s="256" t="s">
        <v>445</v>
      </c>
      <c r="E25" s="184">
        <v>15</v>
      </c>
    </row>
    <row r="26" spans="1:5">
      <c r="A26" s="260">
        <v>41822</v>
      </c>
      <c r="B26" s="256" t="s">
        <v>831</v>
      </c>
      <c r="C26" s="256" t="s">
        <v>832</v>
      </c>
      <c r="D26" s="256" t="s">
        <v>445</v>
      </c>
      <c r="E26" s="184">
        <v>15</v>
      </c>
    </row>
    <row r="27" spans="1:5">
      <c r="A27" s="260">
        <v>41823</v>
      </c>
      <c r="B27" s="256" t="s">
        <v>837</v>
      </c>
      <c r="C27" s="256" t="s">
        <v>842</v>
      </c>
      <c r="D27" s="256" t="s">
        <v>445</v>
      </c>
      <c r="E27" s="184">
        <v>10</v>
      </c>
    </row>
    <row r="28" spans="1:5">
      <c r="A28" s="260">
        <v>41825</v>
      </c>
      <c r="B28" s="256" t="s">
        <v>859</v>
      </c>
      <c r="C28" s="256" t="s">
        <v>860</v>
      </c>
      <c r="D28" s="256" t="s">
        <v>445</v>
      </c>
      <c r="E28" s="184">
        <v>20</v>
      </c>
    </row>
    <row r="29" spans="1:5">
      <c r="A29" s="260">
        <v>41825</v>
      </c>
      <c r="B29" s="256" t="s">
        <v>870</v>
      </c>
      <c r="C29" s="256" t="s">
        <v>875</v>
      </c>
      <c r="D29" s="256" t="s">
        <v>445</v>
      </c>
      <c r="E29" s="184">
        <v>15</v>
      </c>
    </row>
    <row r="30" spans="1:5">
      <c r="A30" s="260">
        <v>41827</v>
      </c>
      <c r="B30" s="256" t="s">
        <v>888</v>
      </c>
      <c r="C30" s="256" t="s">
        <v>889</v>
      </c>
      <c r="D30" s="256" t="s">
        <v>445</v>
      </c>
      <c r="E30" s="184">
        <v>10</v>
      </c>
    </row>
    <row r="31" spans="1:5">
      <c r="A31" s="260">
        <v>41827</v>
      </c>
      <c r="B31" s="256" t="s">
        <v>893</v>
      </c>
      <c r="C31" s="256" t="s">
        <v>894</v>
      </c>
      <c r="D31" s="256" t="s">
        <v>445</v>
      </c>
      <c r="E31" s="184">
        <v>10</v>
      </c>
    </row>
    <row r="32" spans="1:5">
      <c r="A32" s="260">
        <v>41828</v>
      </c>
      <c r="B32" s="256" t="s">
        <v>935</v>
      </c>
      <c r="C32" s="256" t="s">
        <v>936</v>
      </c>
      <c r="D32" s="256" t="s">
        <v>445</v>
      </c>
      <c r="E32" s="184">
        <v>10</v>
      </c>
    </row>
    <row r="33" spans="1:5">
      <c r="A33" s="260">
        <v>41834</v>
      </c>
      <c r="B33" s="256" t="s">
        <v>947</v>
      </c>
      <c r="C33" s="256" t="s">
        <v>948</v>
      </c>
      <c r="D33" s="256" t="s">
        <v>445</v>
      </c>
      <c r="E33" s="184">
        <v>15</v>
      </c>
    </row>
    <row r="34" spans="1:5">
      <c r="A34" s="260">
        <v>41834</v>
      </c>
      <c r="B34" s="256" t="s">
        <v>963</v>
      </c>
      <c r="C34" s="256" t="s">
        <v>964</v>
      </c>
      <c r="D34" s="256" t="s">
        <v>445</v>
      </c>
      <c r="E34" s="184">
        <v>10</v>
      </c>
    </row>
    <row r="35" spans="1:5">
      <c r="A35" s="260">
        <v>41830</v>
      </c>
      <c r="B35" s="256" t="s">
        <v>967</v>
      </c>
      <c r="C35" s="256" t="s">
        <v>968</v>
      </c>
      <c r="D35" s="256" t="s">
        <v>445</v>
      </c>
      <c r="E35" s="184">
        <v>10</v>
      </c>
    </row>
    <row r="36" spans="1:5">
      <c r="A36" s="260">
        <v>41831</v>
      </c>
      <c r="B36" s="256" t="s">
        <v>996</v>
      </c>
      <c r="C36" s="256" t="s">
        <v>997</v>
      </c>
      <c r="D36" s="256" t="s">
        <v>445</v>
      </c>
      <c r="E36" s="184">
        <v>8</v>
      </c>
    </row>
    <row r="37" spans="1:5">
      <c r="A37" s="260">
        <v>41829</v>
      </c>
      <c r="B37" s="256" t="s">
        <v>1011</v>
      </c>
      <c r="C37" s="256" t="s">
        <v>1012</v>
      </c>
      <c r="D37" s="256" t="s">
        <v>445</v>
      </c>
      <c r="E37" s="184">
        <v>15</v>
      </c>
    </row>
    <row r="38" spans="1:5">
      <c r="A38" s="260">
        <v>41829</v>
      </c>
      <c r="B38" s="256" t="s">
        <v>1018</v>
      </c>
      <c r="C38" s="256" t="s">
        <v>1019</v>
      </c>
      <c r="D38" s="256" t="s">
        <v>445</v>
      </c>
      <c r="E38" s="184">
        <v>15</v>
      </c>
    </row>
    <row r="39" spans="1:5">
      <c r="A39" s="260">
        <v>41834</v>
      </c>
      <c r="B39" s="256" t="s">
        <v>1026</v>
      </c>
      <c r="C39" s="256" t="s">
        <v>1027</v>
      </c>
      <c r="D39" s="256" t="s">
        <v>445</v>
      </c>
      <c r="E39" s="184">
        <v>20</v>
      </c>
    </row>
    <row r="40" spans="1:5">
      <c r="A40" s="260">
        <v>41836</v>
      </c>
      <c r="B40" s="256" t="s">
        <v>1039</v>
      </c>
      <c r="C40" s="256" t="s">
        <v>1040</v>
      </c>
      <c r="D40" s="256" t="s">
        <v>445</v>
      </c>
      <c r="E40" s="184">
        <v>15</v>
      </c>
    </row>
    <row r="41" spans="1:5">
      <c r="A41" s="260">
        <v>41835</v>
      </c>
      <c r="B41" s="256" t="s">
        <v>1053</v>
      </c>
      <c r="C41" s="256" t="s">
        <v>1054</v>
      </c>
      <c r="D41" s="256" t="s">
        <v>445</v>
      </c>
      <c r="E41" s="184">
        <v>10</v>
      </c>
    </row>
    <row r="42" spans="1:5">
      <c r="A42" s="260">
        <v>41838</v>
      </c>
      <c r="B42" s="256" t="s">
        <v>1087</v>
      </c>
      <c r="C42" s="256" t="s">
        <v>1088</v>
      </c>
      <c r="D42" s="256" t="s">
        <v>445</v>
      </c>
      <c r="E42" s="184">
        <v>15</v>
      </c>
    </row>
    <row r="43" spans="1:5">
      <c r="A43" s="260">
        <v>41841</v>
      </c>
      <c r="B43" s="256" t="s">
        <v>1089</v>
      </c>
      <c r="C43" s="256" t="s">
        <v>1094</v>
      </c>
      <c r="D43" s="256" t="s">
        <v>445</v>
      </c>
      <c r="E43" s="184">
        <v>20</v>
      </c>
    </row>
    <row r="44" spans="1:5">
      <c r="A44" s="260">
        <v>41841</v>
      </c>
      <c r="B44" s="256" t="s">
        <v>1103</v>
      </c>
      <c r="C44" s="256" t="s">
        <v>1107</v>
      </c>
      <c r="D44" s="256" t="s">
        <v>445</v>
      </c>
      <c r="E44" s="184">
        <v>15</v>
      </c>
    </row>
    <row r="45" spans="1:5">
      <c r="A45" s="260">
        <v>41842</v>
      </c>
      <c r="B45" s="256" t="s">
        <v>1119</v>
      </c>
      <c r="C45" s="256" t="s">
        <v>1123</v>
      </c>
      <c r="D45" s="256" t="s">
        <v>445</v>
      </c>
      <c r="E45" s="184">
        <v>20</v>
      </c>
    </row>
    <row r="46" spans="1:5">
      <c r="A46" s="260">
        <v>41842</v>
      </c>
      <c r="B46" s="256" t="s">
        <v>1129</v>
      </c>
      <c r="C46" s="256" t="s">
        <v>1130</v>
      </c>
      <c r="D46" s="256" t="s">
        <v>445</v>
      </c>
      <c r="E46" s="184">
        <v>20</v>
      </c>
    </row>
    <row r="47" spans="1:5">
      <c r="A47" s="260">
        <v>41842</v>
      </c>
      <c r="B47" s="256" t="s">
        <v>1136</v>
      </c>
      <c r="C47" s="256" t="s">
        <v>1137</v>
      </c>
      <c r="D47" s="256" t="s">
        <v>445</v>
      </c>
      <c r="E47" s="184">
        <v>20</v>
      </c>
    </row>
    <row r="48" spans="1:5">
      <c r="A48" s="260">
        <v>41845</v>
      </c>
      <c r="B48" s="256" t="s">
        <v>1159</v>
      </c>
      <c r="C48" s="256" t="s">
        <v>1158</v>
      </c>
      <c r="D48" s="256" t="s">
        <v>445</v>
      </c>
      <c r="E48" s="184">
        <v>48</v>
      </c>
    </row>
    <row r="49" spans="1:5">
      <c r="A49" s="260">
        <v>41848</v>
      </c>
      <c r="B49" s="256" t="s">
        <v>1174</v>
      </c>
      <c r="C49" s="256" t="s">
        <v>1182</v>
      </c>
      <c r="D49" s="256" t="s">
        <v>445</v>
      </c>
      <c r="E49" s="184">
        <v>24</v>
      </c>
    </row>
    <row r="50" spans="1:5">
      <c r="A50" s="260">
        <v>41848</v>
      </c>
      <c r="B50" s="256" t="s">
        <v>1194</v>
      </c>
      <c r="C50" s="256" t="s">
        <v>1193</v>
      </c>
      <c r="D50" s="256" t="s">
        <v>445</v>
      </c>
      <c r="E50" s="184">
        <v>24</v>
      </c>
    </row>
    <row r="51" spans="1:5">
      <c r="A51" s="260">
        <v>41849</v>
      </c>
      <c r="B51" s="256" t="s">
        <v>1217</v>
      </c>
      <c r="C51" s="256" t="s">
        <v>1218</v>
      </c>
      <c r="D51" s="256" t="s">
        <v>445</v>
      </c>
      <c r="E51" s="184">
        <v>15</v>
      </c>
    </row>
    <row r="52" spans="1:5">
      <c r="A52" s="184"/>
      <c r="B52" s="256"/>
      <c r="C52" s="256"/>
      <c r="D52" s="256"/>
      <c r="E52" s="184"/>
    </row>
    <row r="53" spans="1:5">
      <c r="A53" s="184"/>
      <c r="B53" s="256"/>
      <c r="C53" s="256"/>
      <c r="D53" s="256"/>
      <c r="E53" s="184"/>
    </row>
    <row r="54" spans="1:5">
      <c r="A54" s="184"/>
      <c r="B54" s="256"/>
      <c r="C54" s="256"/>
      <c r="D54" s="256"/>
      <c r="E54" s="184"/>
    </row>
    <row r="55" spans="1:5">
      <c r="A55" s="184"/>
      <c r="B55" s="256"/>
      <c r="C55" s="256"/>
      <c r="D55" s="256"/>
      <c r="E55" s="184"/>
    </row>
    <row r="56" spans="1:5">
      <c r="A56" s="184"/>
      <c r="B56" s="256"/>
      <c r="C56" s="256"/>
      <c r="D56" s="256"/>
      <c r="E56" s="184"/>
    </row>
    <row r="57" spans="1:5">
      <c r="A57" s="184"/>
      <c r="B57" s="256"/>
      <c r="C57" s="256"/>
      <c r="D57" s="256"/>
      <c r="E57" s="184"/>
    </row>
    <row r="58" spans="1:5">
      <c r="A58" s="184"/>
      <c r="B58" s="256"/>
      <c r="C58" s="256"/>
      <c r="D58" s="256"/>
      <c r="E58" s="184"/>
    </row>
    <row r="59" spans="1:5">
      <c r="A59" s="184"/>
      <c r="B59" s="256"/>
      <c r="C59" s="256"/>
      <c r="D59" s="256"/>
      <c r="E59" s="184"/>
    </row>
    <row r="60" spans="1:5">
      <c r="A60" s="184"/>
      <c r="B60" s="256"/>
      <c r="C60" s="256"/>
      <c r="D60" s="256"/>
      <c r="E60" s="184"/>
    </row>
    <row r="61" spans="1:5">
      <c r="A61" s="184"/>
      <c r="B61" s="256"/>
      <c r="C61" s="256"/>
      <c r="D61" s="256"/>
      <c r="E61" s="184"/>
    </row>
    <row r="62" spans="1:5">
      <c r="A62" s="184"/>
      <c r="B62" s="256"/>
      <c r="C62" s="256"/>
      <c r="D62" s="256"/>
      <c r="E62" s="184"/>
    </row>
    <row r="63" spans="1:5">
      <c r="A63" s="184"/>
      <c r="B63" s="256"/>
      <c r="C63" s="256"/>
      <c r="D63" s="256"/>
      <c r="E63" s="184"/>
    </row>
    <row r="64" spans="1:5">
      <c r="A64" s="184"/>
      <c r="B64" s="256"/>
      <c r="C64" s="256"/>
      <c r="D64" s="256"/>
      <c r="E64" s="184"/>
    </row>
    <row r="65" spans="1:5">
      <c r="A65" s="184"/>
      <c r="B65" s="256"/>
      <c r="C65" s="256"/>
      <c r="D65" s="256"/>
      <c r="E65" s="184"/>
    </row>
    <row r="66" spans="1:5">
      <c r="A66" s="184"/>
      <c r="B66" s="256"/>
      <c r="C66" s="256"/>
      <c r="D66" s="256"/>
      <c r="E66" s="184"/>
    </row>
    <row r="67" spans="1:5">
      <c r="A67" s="184"/>
      <c r="B67" s="256"/>
      <c r="C67" s="256"/>
      <c r="D67" s="256"/>
      <c r="E67" s="184"/>
    </row>
    <row r="68" spans="1:5">
      <c r="A68" s="184"/>
      <c r="B68" s="256"/>
      <c r="C68" s="256"/>
      <c r="D68" s="256"/>
      <c r="E68" s="184"/>
    </row>
    <row r="69" spans="1:5">
      <c r="A69" s="184"/>
      <c r="B69" s="256"/>
      <c r="C69" s="256"/>
      <c r="D69" s="256"/>
      <c r="E69" s="184"/>
    </row>
    <row r="70" spans="1:5">
      <c r="A70" s="184"/>
      <c r="B70" s="256"/>
      <c r="C70" s="256"/>
      <c r="D70" s="256"/>
      <c r="E70" s="184"/>
    </row>
    <row r="71" spans="1:5">
      <c r="A71" s="184"/>
      <c r="B71" s="256"/>
      <c r="C71" s="256"/>
      <c r="D71" s="256"/>
      <c r="E71" s="184"/>
    </row>
    <row r="72" spans="1:5">
      <c r="A72" s="184"/>
      <c r="B72" s="256"/>
      <c r="C72" s="256"/>
      <c r="D72" s="256"/>
      <c r="E72" s="184"/>
    </row>
    <row r="73" spans="1:5">
      <c r="A73" s="184"/>
      <c r="B73" s="256"/>
      <c r="C73" s="256"/>
      <c r="D73" s="256"/>
      <c r="E73" s="184"/>
    </row>
    <row r="74" spans="1:5">
      <c r="A74" s="184"/>
      <c r="B74" s="256"/>
      <c r="C74" s="256"/>
      <c r="D74" s="256"/>
      <c r="E74" s="184"/>
    </row>
    <row r="75" spans="1:5">
      <c r="A75" s="184"/>
      <c r="B75" s="256"/>
      <c r="C75" s="256"/>
      <c r="D75" s="256"/>
      <c r="E75" s="184"/>
    </row>
    <row r="76" spans="1:5">
      <c r="A76" s="184"/>
      <c r="B76" s="256"/>
      <c r="C76" s="256"/>
      <c r="D76" s="256"/>
      <c r="E76" s="184"/>
    </row>
    <row r="77" spans="1:5">
      <c r="A77" s="184"/>
      <c r="B77" s="256"/>
      <c r="C77" s="256"/>
      <c r="D77" s="256"/>
      <c r="E77" s="184"/>
    </row>
    <row r="78" spans="1:5">
      <c r="A78" s="184"/>
      <c r="B78" s="256"/>
      <c r="C78" s="256"/>
      <c r="D78" s="256"/>
      <c r="E78" s="184"/>
    </row>
    <row r="79" spans="1:5">
      <c r="A79" s="184"/>
      <c r="B79" s="256"/>
      <c r="C79" s="256"/>
      <c r="D79" s="256"/>
      <c r="E79" s="184"/>
    </row>
    <row r="80" spans="1:5">
      <c r="A80" s="184"/>
      <c r="B80" s="256"/>
      <c r="C80" s="256"/>
      <c r="D80" s="256"/>
      <c r="E80" s="184"/>
    </row>
    <row r="81" spans="1:5">
      <c r="A81" s="184"/>
      <c r="B81" s="256"/>
      <c r="C81" s="256"/>
      <c r="D81" s="256"/>
      <c r="E81" s="184"/>
    </row>
    <row r="82" spans="1:5">
      <c r="A82" s="184"/>
      <c r="B82" s="256"/>
      <c r="C82" s="256"/>
      <c r="D82" s="256"/>
      <c r="E82" s="184"/>
    </row>
    <row r="83" spans="1:5">
      <c r="A83" s="184"/>
      <c r="B83" s="256"/>
      <c r="C83" s="256"/>
      <c r="D83" s="256"/>
      <c r="E83" s="184"/>
    </row>
    <row r="84" spans="1:5">
      <c r="A84" s="184"/>
      <c r="B84" s="256"/>
      <c r="C84" s="256"/>
      <c r="D84" s="256"/>
      <c r="E84" s="184"/>
    </row>
    <row r="85" spans="1:5">
      <c r="A85" s="184"/>
      <c r="B85" s="256"/>
      <c r="C85" s="256"/>
      <c r="D85" s="256"/>
      <c r="E85" s="184"/>
    </row>
    <row r="86" spans="1:5">
      <c r="A86" s="184"/>
      <c r="B86" s="256"/>
      <c r="C86" s="256"/>
      <c r="D86" s="256"/>
      <c r="E86" s="184"/>
    </row>
    <row r="87" spans="1:5">
      <c r="A87" s="184"/>
      <c r="B87" s="256"/>
      <c r="C87" s="256"/>
      <c r="D87" s="256"/>
      <c r="E87" s="184"/>
    </row>
    <row r="88" spans="1:5">
      <c r="A88" s="184"/>
      <c r="B88" s="256"/>
      <c r="C88" s="256"/>
      <c r="D88" s="256"/>
      <c r="E88" s="184"/>
    </row>
    <row r="89" spans="1:5">
      <c r="A89" s="184"/>
      <c r="B89" s="256"/>
      <c r="C89" s="256"/>
      <c r="D89" s="256"/>
      <c r="E89" s="184"/>
    </row>
    <row r="90" spans="1:5">
      <c r="A90" s="184"/>
      <c r="B90" s="256"/>
      <c r="C90" s="256"/>
      <c r="D90" s="256"/>
      <c r="E90" s="184"/>
    </row>
    <row r="91" spans="1:5">
      <c r="A91" s="184"/>
      <c r="B91" s="256"/>
      <c r="C91" s="256"/>
      <c r="D91" s="256"/>
      <c r="E91" s="184"/>
    </row>
    <row r="92" spans="1:5">
      <c r="A92" s="184"/>
      <c r="B92" s="256"/>
      <c r="C92" s="256"/>
      <c r="D92" s="256"/>
      <c r="E92" s="184"/>
    </row>
    <row r="93" spans="1:5">
      <c r="A93" s="184"/>
      <c r="B93" s="256"/>
      <c r="C93" s="256"/>
      <c r="D93" s="256"/>
      <c r="E93" s="184"/>
    </row>
    <row r="94" spans="1:5">
      <c r="A94" s="184"/>
      <c r="B94" s="256"/>
      <c r="C94" s="256"/>
      <c r="D94" s="256"/>
      <c r="E94" s="184"/>
    </row>
    <row r="95" spans="1:5">
      <c r="A95" s="184"/>
      <c r="B95" s="256"/>
      <c r="C95" s="256"/>
      <c r="D95" s="256"/>
      <c r="E95" s="184"/>
    </row>
    <row r="96" spans="1:5">
      <c r="A96" s="184"/>
      <c r="B96" s="256"/>
      <c r="C96" s="256"/>
      <c r="D96" s="256"/>
      <c r="E96" s="184"/>
    </row>
    <row r="97" spans="1:5">
      <c r="A97" s="184"/>
      <c r="B97" s="256"/>
      <c r="C97" s="256"/>
      <c r="D97" s="256"/>
      <c r="E97" s="184"/>
    </row>
    <row r="98" spans="1:5">
      <c r="A98" s="184"/>
      <c r="B98" s="256"/>
      <c r="C98" s="256"/>
      <c r="D98" s="256"/>
      <c r="E98" s="184"/>
    </row>
    <row r="99" spans="1:5">
      <c r="A99" s="184"/>
      <c r="B99" s="256"/>
      <c r="C99" s="256"/>
      <c r="D99" s="256"/>
      <c r="E99" s="184"/>
    </row>
    <row r="100" spans="1:5">
      <c r="A100" s="184"/>
      <c r="B100" s="256"/>
      <c r="C100" s="256"/>
      <c r="D100" s="256"/>
      <c r="E100" s="184"/>
    </row>
    <row r="101" spans="1:5">
      <c r="A101" s="184"/>
      <c r="B101" s="256"/>
      <c r="C101" s="256"/>
      <c r="D101" s="256"/>
      <c r="E101" s="184"/>
    </row>
    <row r="102" spans="1:5">
      <c r="A102" s="184"/>
      <c r="B102" s="256"/>
      <c r="C102" s="256"/>
      <c r="D102" s="256"/>
      <c r="E102" s="184"/>
    </row>
    <row r="103" spans="1:5">
      <c r="A103" s="184"/>
      <c r="B103" s="256"/>
      <c r="C103" s="256"/>
      <c r="D103" s="256"/>
      <c r="E103" s="184"/>
    </row>
    <row r="104" spans="1:5">
      <c r="A104" s="184"/>
      <c r="B104" s="256"/>
      <c r="C104" s="256"/>
      <c r="D104" s="256"/>
      <c r="E104" s="184"/>
    </row>
    <row r="105" spans="1:5">
      <c r="A105" s="184"/>
      <c r="B105" s="256"/>
      <c r="C105" s="256"/>
      <c r="D105" s="256"/>
      <c r="E105" s="184"/>
    </row>
    <row r="106" spans="1:5">
      <c r="A106" s="184"/>
      <c r="B106" s="256"/>
      <c r="C106" s="256"/>
      <c r="D106" s="256"/>
      <c r="E106" s="184"/>
    </row>
    <row r="107" spans="1:5">
      <c r="A107" s="184"/>
      <c r="B107" s="256"/>
      <c r="C107" s="256"/>
      <c r="D107" s="256"/>
      <c r="E107" s="184"/>
    </row>
    <row r="108" spans="1:5">
      <c r="A108" s="184"/>
      <c r="B108" s="256"/>
      <c r="C108" s="256"/>
      <c r="D108" s="256"/>
      <c r="E108" s="184"/>
    </row>
    <row r="109" spans="1:5">
      <c r="A109" s="184"/>
      <c r="B109" s="256"/>
      <c r="C109" s="256"/>
      <c r="D109" s="256"/>
      <c r="E109" s="184"/>
    </row>
    <row r="110" spans="1:5">
      <c r="A110" s="184"/>
      <c r="B110" s="256"/>
      <c r="C110" s="256"/>
      <c r="D110" s="256"/>
      <c r="E110" s="184"/>
    </row>
    <row r="111" spans="1:5">
      <c r="A111" s="184"/>
      <c r="B111" s="256"/>
      <c r="C111" s="256"/>
      <c r="D111" s="256"/>
      <c r="E111" s="184"/>
    </row>
    <row r="112" spans="1:5">
      <c r="A112" s="184"/>
      <c r="B112" s="256"/>
      <c r="C112" s="256"/>
      <c r="D112" s="256"/>
      <c r="E112" s="184"/>
    </row>
    <row r="113" spans="1:5">
      <c r="A113" s="184"/>
      <c r="B113" s="256"/>
      <c r="C113" s="256"/>
      <c r="D113" s="256"/>
      <c r="E113" s="184"/>
    </row>
    <row r="114" spans="1:5">
      <c r="A114" s="184"/>
      <c r="B114" s="256"/>
      <c r="C114" s="256"/>
      <c r="D114" s="256"/>
      <c r="E114" s="184"/>
    </row>
    <row r="115" spans="1:5">
      <c r="A115" s="184"/>
      <c r="B115" s="256"/>
      <c r="C115" s="256"/>
      <c r="D115" s="256"/>
      <c r="E115" s="184"/>
    </row>
    <row r="116" spans="1:5">
      <c r="A116" s="184"/>
      <c r="B116" s="256"/>
      <c r="C116" s="256"/>
      <c r="D116" s="256"/>
      <c r="E116" s="184"/>
    </row>
    <row r="117" spans="1:5">
      <c r="A117" s="184"/>
      <c r="B117" s="256"/>
      <c r="C117" s="256"/>
      <c r="D117" s="256"/>
      <c r="E117" s="184"/>
    </row>
    <row r="118" spans="1:5">
      <c r="A118" s="184"/>
      <c r="B118" s="256"/>
      <c r="C118" s="256"/>
      <c r="D118" s="256"/>
      <c r="E118" s="184"/>
    </row>
    <row r="119" spans="1:5">
      <c r="A119" s="184"/>
      <c r="B119" s="256"/>
      <c r="C119" s="256"/>
      <c r="D119" s="256"/>
      <c r="E119" s="184"/>
    </row>
    <row r="120" spans="1:5">
      <c r="A120" s="184"/>
      <c r="B120" s="256"/>
      <c r="C120" s="256"/>
      <c r="D120" s="256"/>
      <c r="E120" s="184"/>
    </row>
    <row r="121" spans="1:5">
      <c r="A121" s="184"/>
      <c r="B121" s="256"/>
      <c r="C121" s="256"/>
      <c r="D121" s="256"/>
      <c r="E121" s="184"/>
    </row>
    <row r="122" spans="1:5">
      <c r="A122" s="184"/>
      <c r="B122" s="256"/>
      <c r="C122" s="256"/>
      <c r="D122" s="256"/>
      <c r="E122" s="184"/>
    </row>
    <row r="123" spans="1:5">
      <c r="A123" s="184"/>
      <c r="B123" s="256"/>
      <c r="C123" s="256"/>
      <c r="D123" s="256"/>
      <c r="E123" s="184"/>
    </row>
    <row r="124" spans="1:5">
      <c r="A124" s="184"/>
      <c r="B124" s="256"/>
      <c r="C124" s="256"/>
      <c r="D124" s="256"/>
      <c r="E124" s="184"/>
    </row>
    <row r="125" spans="1:5">
      <c r="A125" s="184"/>
      <c r="B125" s="256"/>
      <c r="C125" s="256"/>
      <c r="D125" s="256"/>
      <c r="E125" s="184"/>
    </row>
    <row r="126" spans="1:5">
      <c r="A126" s="184"/>
      <c r="B126" s="256"/>
      <c r="C126" s="256"/>
      <c r="D126" s="256"/>
      <c r="E126" s="184"/>
    </row>
    <row r="127" spans="1:5">
      <c r="A127" s="184"/>
      <c r="B127" s="256"/>
      <c r="C127" s="256"/>
      <c r="D127" s="256"/>
      <c r="E127" s="184"/>
    </row>
    <row r="128" spans="1:5">
      <c r="A128" s="184"/>
      <c r="B128" s="256"/>
      <c r="C128" s="256"/>
      <c r="D128" s="256"/>
      <c r="E128" s="184"/>
    </row>
    <row r="129" spans="1:5">
      <c r="A129" s="184"/>
      <c r="B129" s="256"/>
      <c r="C129" s="256"/>
      <c r="D129" s="256"/>
      <c r="E129" s="184"/>
    </row>
    <row r="130" spans="1:5">
      <c r="A130" s="184"/>
      <c r="B130" s="256"/>
      <c r="C130" s="256"/>
      <c r="D130" s="256"/>
      <c r="E130" s="184"/>
    </row>
    <row r="131" spans="1:5">
      <c r="A131" s="184"/>
      <c r="B131" s="256"/>
      <c r="C131" s="256"/>
      <c r="D131" s="256"/>
      <c r="E131" s="184"/>
    </row>
    <row r="132" spans="1:5">
      <c r="A132" s="184"/>
      <c r="B132" s="256"/>
      <c r="C132" s="256"/>
      <c r="D132" s="256"/>
      <c r="E132" s="184"/>
    </row>
    <row r="133" spans="1:5">
      <c r="A133" s="184"/>
      <c r="B133" s="256"/>
      <c r="C133" s="256"/>
      <c r="D133" s="256"/>
      <c r="E133" s="184"/>
    </row>
    <row r="134" spans="1:5">
      <c r="A134" s="184"/>
      <c r="B134" s="256"/>
      <c r="C134" s="256"/>
      <c r="D134" s="256"/>
      <c r="E134" s="184"/>
    </row>
    <row r="135" spans="1:5">
      <c r="A135" s="184"/>
      <c r="B135" s="256"/>
      <c r="C135" s="256"/>
      <c r="D135" s="256"/>
      <c r="E135" s="184"/>
    </row>
    <row r="136" spans="1:5">
      <c r="A136" s="184"/>
      <c r="B136" s="256"/>
      <c r="C136" s="256"/>
      <c r="D136" s="256"/>
      <c r="E136" s="184"/>
    </row>
    <row r="137" spans="1:5">
      <c r="A137" s="184"/>
      <c r="B137" s="256"/>
      <c r="C137" s="256"/>
      <c r="D137" s="256"/>
      <c r="E137" s="184"/>
    </row>
    <row r="138" spans="1:5">
      <c r="A138" s="184"/>
      <c r="B138" s="256"/>
      <c r="C138" s="256"/>
      <c r="D138" s="256"/>
      <c r="E138" s="184"/>
    </row>
    <row r="139" spans="1:5">
      <c r="A139" s="184"/>
      <c r="B139" s="256"/>
      <c r="C139" s="256"/>
      <c r="D139" s="256"/>
      <c r="E139" s="184"/>
    </row>
    <row r="140" spans="1:5">
      <c r="A140" s="184"/>
      <c r="B140" s="256"/>
      <c r="C140" s="256"/>
      <c r="D140" s="256"/>
      <c r="E140" s="184"/>
    </row>
    <row r="141" spans="1:5">
      <c r="A141" s="184"/>
      <c r="B141" s="256"/>
      <c r="C141" s="256"/>
      <c r="D141" s="256"/>
      <c r="E141" s="184"/>
    </row>
    <row r="142" spans="1:5">
      <c r="A142" s="184"/>
      <c r="B142" s="256"/>
      <c r="C142" s="256"/>
      <c r="D142" s="256"/>
      <c r="E142" s="184"/>
    </row>
    <row r="143" spans="1:5">
      <c r="A143" s="184"/>
      <c r="B143" s="256"/>
      <c r="C143" s="256"/>
      <c r="D143" s="256"/>
      <c r="E143" s="184"/>
    </row>
    <row r="144" spans="1:5">
      <c r="A144" s="184"/>
      <c r="B144" s="256"/>
      <c r="C144" s="256"/>
      <c r="D144" s="256"/>
      <c r="E144" s="184"/>
    </row>
    <row r="145" spans="1:5">
      <c r="A145" s="184"/>
      <c r="B145" s="256"/>
      <c r="C145" s="256"/>
      <c r="D145" s="256"/>
      <c r="E145" s="184"/>
    </row>
    <row r="146" spans="1:5">
      <c r="A146" s="184"/>
      <c r="B146" s="256"/>
      <c r="C146" s="256"/>
      <c r="D146" s="256"/>
      <c r="E146" s="184"/>
    </row>
    <row r="147" spans="1:5">
      <c r="A147" s="184"/>
      <c r="B147" s="256"/>
      <c r="C147" s="256"/>
      <c r="D147" s="256"/>
      <c r="E147" s="184"/>
    </row>
    <row r="148" spans="1:5">
      <c r="A148" s="184"/>
      <c r="B148" s="256"/>
      <c r="C148" s="256"/>
      <c r="D148" s="256"/>
      <c r="E148" s="184"/>
    </row>
    <row r="149" spans="1:5">
      <c r="A149" s="184"/>
      <c r="B149" s="256"/>
      <c r="C149" s="256"/>
      <c r="D149" s="256"/>
      <c r="E149" s="184"/>
    </row>
    <row r="150" spans="1:5">
      <c r="A150" s="184"/>
      <c r="B150" s="256"/>
      <c r="C150" s="256"/>
      <c r="D150" s="256"/>
      <c r="E150" s="184"/>
    </row>
    <row r="151" spans="1:5">
      <c r="A151" s="184"/>
      <c r="B151" s="256"/>
      <c r="C151" s="256"/>
      <c r="D151" s="256"/>
      <c r="E151" s="184"/>
    </row>
    <row r="152" spans="1:5">
      <c r="A152" s="184"/>
      <c r="B152" s="256"/>
      <c r="C152" s="256"/>
      <c r="D152" s="256"/>
      <c r="E152" s="184"/>
    </row>
    <row r="153" spans="1:5">
      <c r="A153" s="184"/>
      <c r="B153" s="256"/>
      <c r="C153" s="256"/>
      <c r="D153" s="256"/>
      <c r="E153" s="184"/>
    </row>
    <row r="154" spans="1:5">
      <c r="A154" s="184"/>
      <c r="B154" s="256"/>
      <c r="C154" s="256"/>
      <c r="D154" s="256"/>
      <c r="E154" s="184"/>
    </row>
    <row r="155" spans="1:5">
      <c r="A155" s="184"/>
      <c r="B155" s="256"/>
      <c r="C155" s="256"/>
      <c r="D155" s="256"/>
      <c r="E155" s="184"/>
    </row>
    <row r="156" spans="1:5">
      <c r="A156" s="184"/>
      <c r="B156" s="256"/>
      <c r="C156" s="256"/>
      <c r="D156" s="256"/>
      <c r="E156" s="184"/>
    </row>
    <row r="157" spans="1:5">
      <c r="A157" s="184"/>
      <c r="B157" s="256"/>
      <c r="C157" s="256"/>
      <c r="D157" s="256"/>
      <c r="E157" s="184"/>
    </row>
    <row r="158" spans="1:5">
      <c r="A158" s="184"/>
      <c r="B158" s="256"/>
      <c r="C158" s="256"/>
      <c r="D158" s="256"/>
      <c r="E158" s="184"/>
    </row>
    <row r="159" spans="1:5">
      <c r="A159" s="184"/>
      <c r="B159" s="256"/>
      <c r="C159" s="256"/>
      <c r="D159" s="256"/>
      <c r="E159" s="184"/>
    </row>
    <row r="160" spans="1:5">
      <c r="A160" s="184"/>
      <c r="B160" s="256"/>
      <c r="C160" s="256"/>
      <c r="D160" s="256"/>
      <c r="E160" s="184"/>
    </row>
    <row r="161" spans="1:5">
      <c r="A161" s="184"/>
      <c r="B161" s="256"/>
      <c r="C161" s="256"/>
      <c r="D161" s="256"/>
      <c r="E161" s="184"/>
    </row>
    <row r="162" spans="1:5">
      <c r="A162" s="184"/>
      <c r="B162" s="256"/>
      <c r="C162" s="256"/>
      <c r="D162" s="256"/>
      <c r="E162" s="184"/>
    </row>
    <row r="163" spans="1:5">
      <c r="A163" s="184"/>
      <c r="B163" s="256"/>
      <c r="C163" s="256"/>
      <c r="D163" s="256"/>
      <c r="E163" s="184"/>
    </row>
    <row r="164" spans="1:5">
      <c r="A164" s="184"/>
      <c r="B164" s="256"/>
      <c r="C164" s="256"/>
      <c r="D164" s="256"/>
      <c r="E164" s="184"/>
    </row>
    <row r="165" spans="1:5">
      <c r="A165" s="184"/>
      <c r="B165" s="256"/>
      <c r="C165" s="256"/>
      <c r="D165" s="256"/>
      <c r="E165" s="184"/>
    </row>
    <row r="166" spans="1:5">
      <c r="A166" s="184"/>
      <c r="B166" s="256"/>
      <c r="C166" s="256"/>
      <c r="D166" s="256"/>
      <c r="E166" s="184"/>
    </row>
    <row r="167" spans="1:5">
      <c r="A167" s="184"/>
      <c r="B167" s="256"/>
      <c r="C167" s="256"/>
      <c r="D167" s="256"/>
      <c r="E167" s="184"/>
    </row>
    <row r="168" spans="1:5">
      <c r="A168" s="184"/>
      <c r="B168" s="256"/>
      <c r="C168" s="256"/>
      <c r="D168" s="256"/>
      <c r="E168" s="184"/>
    </row>
    <row r="169" spans="1:5">
      <c r="A169" s="184"/>
      <c r="B169" s="256"/>
      <c r="C169" s="256"/>
      <c r="D169" s="256"/>
      <c r="E169" s="184"/>
    </row>
    <row r="170" spans="1:5">
      <c r="A170" s="184"/>
      <c r="B170" s="256"/>
      <c r="C170" s="256"/>
      <c r="D170" s="256"/>
      <c r="E170" s="184"/>
    </row>
    <row r="171" spans="1:5">
      <c r="A171" s="184"/>
      <c r="B171" s="256"/>
      <c r="C171" s="256"/>
      <c r="D171" s="256"/>
      <c r="E171" s="184"/>
    </row>
    <row r="172" spans="1:5">
      <c r="A172" s="184"/>
      <c r="B172" s="256"/>
      <c r="C172" s="256"/>
      <c r="D172" s="256"/>
      <c r="E172" s="184"/>
    </row>
    <row r="173" spans="1:5">
      <c r="A173" s="184"/>
      <c r="B173" s="256"/>
      <c r="C173" s="256"/>
      <c r="D173" s="256"/>
      <c r="E173" s="184"/>
    </row>
    <row r="174" spans="1:5">
      <c r="A174" s="184"/>
      <c r="B174" s="256"/>
      <c r="C174" s="256"/>
      <c r="D174" s="256"/>
      <c r="E174" s="184"/>
    </row>
    <row r="175" spans="1:5">
      <c r="A175" s="184"/>
      <c r="B175" s="256"/>
      <c r="C175" s="256"/>
      <c r="D175" s="256"/>
      <c r="E175" s="184"/>
    </row>
    <row r="176" spans="1:5">
      <c r="A176" s="184"/>
      <c r="B176" s="256"/>
      <c r="C176" s="256"/>
      <c r="D176" s="256"/>
      <c r="E176" s="184"/>
    </row>
    <row r="177" spans="1:5">
      <c r="A177" s="184"/>
      <c r="B177" s="256"/>
      <c r="C177" s="256"/>
      <c r="D177" s="256"/>
      <c r="E177" s="184"/>
    </row>
    <row r="178" spans="1:5">
      <c r="A178" s="184"/>
      <c r="B178" s="256"/>
      <c r="C178" s="256"/>
      <c r="D178" s="256"/>
      <c r="E178" s="184"/>
    </row>
    <row r="179" spans="1:5">
      <c r="A179" s="184"/>
      <c r="B179" s="256"/>
      <c r="C179" s="256"/>
      <c r="D179" s="256"/>
      <c r="E179" s="184"/>
    </row>
    <row r="180" spans="1:5">
      <c r="A180" s="184"/>
      <c r="B180" s="256"/>
      <c r="C180" s="256"/>
      <c r="D180" s="256"/>
      <c r="E180" s="184"/>
    </row>
    <row r="181" spans="1:5">
      <c r="A181" s="184"/>
      <c r="B181" s="256"/>
      <c r="C181" s="256"/>
      <c r="D181" s="256"/>
      <c r="E181" s="184"/>
    </row>
    <row r="182" spans="1:5">
      <c r="A182" s="184"/>
      <c r="B182" s="256"/>
      <c r="C182" s="256"/>
      <c r="D182" s="256"/>
      <c r="E182" s="184"/>
    </row>
    <row r="183" spans="1:5">
      <c r="A183" s="184"/>
      <c r="B183" s="256"/>
      <c r="C183" s="256"/>
      <c r="D183" s="256"/>
      <c r="E183" s="184"/>
    </row>
    <row r="184" spans="1:5">
      <c r="A184" s="184"/>
      <c r="B184" s="256"/>
      <c r="C184" s="256"/>
      <c r="D184" s="256"/>
      <c r="E184" s="184"/>
    </row>
    <row r="185" spans="1:5">
      <c r="A185" s="184"/>
      <c r="B185" s="256"/>
      <c r="C185" s="256"/>
      <c r="D185" s="256"/>
      <c r="E185" s="184"/>
    </row>
    <row r="186" spans="1:5">
      <c r="A186" s="184"/>
      <c r="B186" s="256"/>
      <c r="C186" s="256"/>
      <c r="D186" s="256"/>
      <c r="E186" s="184"/>
    </row>
    <row r="187" spans="1:5">
      <c r="A187" s="184"/>
      <c r="B187" s="256"/>
      <c r="C187" s="256"/>
      <c r="D187" s="256"/>
      <c r="E187" s="184"/>
    </row>
    <row r="188" spans="1:5">
      <c r="A188" s="184"/>
      <c r="B188" s="256"/>
      <c r="C188" s="256"/>
      <c r="D188" s="256"/>
      <c r="E188" s="184"/>
    </row>
    <row r="189" spans="1:5">
      <c r="A189" s="184"/>
      <c r="B189" s="256"/>
      <c r="C189" s="256"/>
      <c r="D189" s="256"/>
      <c r="E189" s="184"/>
    </row>
    <row r="190" spans="1:5">
      <c r="A190" s="184"/>
      <c r="B190" s="256"/>
      <c r="C190" s="256"/>
      <c r="D190" s="256"/>
      <c r="E190" s="184"/>
    </row>
    <row r="191" spans="1:5">
      <c r="A191" s="184"/>
      <c r="B191" s="256"/>
      <c r="C191" s="256"/>
      <c r="D191" s="256"/>
      <c r="E191" s="184"/>
    </row>
    <row r="192" spans="1:5">
      <c r="A192" s="184"/>
      <c r="B192" s="256"/>
      <c r="C192" s="256"/>
      <c r="D192" s="256"/>
      <c r="E192" s="184"/>
    </row>
    <row r="193" spans="1:5">
      <c r="A193" s="184"/>
      <c r="B193" s="256"/>
      <c r="C193" s="256"/>
      <c r="D193" s="256"/>
      <c r="E193" s="184"/>
    </row>
    <row r="194" spans="1:5">
      <c r="A194" s="184"/>
      <c r="B194" s="256"/>
      <c r="C194" s="256"/>
      <c r="D194" s="256"/>
      <c r="E194" s="184"/>
    </row>
    <row r="195" spans="1:5">
      <c r="A195" s="184"/>
      <c r="B195" s="256"/>
      <c r="C195" s="256"/>
      <c r="D195" s="256"/>
      <c r="E195" s="184"/>
    </row>
    <row r="196" spans="1:5">
      <c r="A196" s="184"/>
      <c r="B196" s="256"/>
      <c r="C196" s="256"/>
      <c r="D196" s="256"/>
      <c r="E196" s="184"/>
    </row>
    <row r="197" spans="1:5">
      <c r="A197" s="184"/>
      <c r="B197" s="256"/>
      <c r="C197" s="256"/>
      <c r="D197" s="256"/>
      <c r="E197" s="184"/>
    </row>
    <row r="198" spans="1:5">
      <c r="A198" s="184"/>
      <c r="B198" s="256"/>
      <c r="C198" s="256"/>
      <c r="D198" s="256"/>
      <c r="E198" s="184"/>
    </row>
    <row r="199" spans="1:5">
      <c r="A199" s="184"/>
      <c r="B199" s="256"/>
      <c r="C199" s="256"/>
      <c r="D199" s="256"/>
      <c r="E199" s="184"/>
    </row>
    <row r="200" spans="1:5">
      <c r="A200" s="184"/>
      <c r="B200" s="256"/>
      <c r="C200" s="256"/>
      <c r="D200" s="256"/>
      <c r="E200" s="184"/>
    </row>
    <row r="201" spans="1:5">
      <c r="A201" s="184"/>
      <c r="B201" s="256"/>
      <c r="C201" s="256"/>
      <c r="D201" s="256"/>
      <c r="E201" s="184"/>
    </row>
    <row r="202" spans="1:5">
      <c r="A202" s="184"/>
      <c r="B202" s="256"/>
      <c r="C202" s="256"/>
      <c r="D202" s="256"/>
      <c r="E202" s="184"/>
    </row>
    <row r="203" spans="1:5">
      <c r="A203" s="184"/>
      <c r="B203" s="256"/>
      <c r="C203" s="256"/>
      <c r="D203" s="256"/>
      <c r="E203" s="184"/>
    </row>
    <row r="204" spans="1:5">
      <c r="A204" s="184"/>
      <c r="B204" s="256"/>
      <c r="C204" s="256"/>
      <c r="D204" s="256"/>
      <c r="E204" s="184"/>
    </row>
    <row r="205" spans="1:5">
      <c r="A205" s="184"/>
      <c r="B205" s="256"/>
      <c r="C205" s="256"/>
      <c r="D205" s="256"/>
      <c r="E205" s="184"/>
    </row>
    <row r="206" spans="1:5">
      <c r="A206" s="184"/>
      <c r="B206" s="256"/>
      <c r="C206" s="256"/>
      <c r="D206" s="256"/>
      <c r="E206" s="184"/>
    </row>
    <row r="207" spans="1:5">
      <c r="A207" s="184"/>
      <c r="B207" s="256"/>
      <c r="C207" s="256"/>
      <c r="D207" s="256"/>
      <c r="E207" s="184"/>
    </row>
    <row r="208" spans="1:5">
      <c r="A208" s="184"/>
      <c r="B208" s="256"/>
      <c r="C208" s="256"/>
      <c r="D208" s="256"/>
      <c r="E208" s="184"/>
    </row>
    <row r="209" spans="1:5">
      <c r="A209" s="184"/>
      <c r="B209" s="256"/>
      <c r="C209" s="256"/>
      <c r="D209" s="256"/>
      <c r="E209" s="184"/>
    </row>
    <row r="210" spans="1:5">
      <c r="A210" s="184"/>
      <c r="B210" s="256"/>
      <c r="C210" s="256"/>
      <c r="D210" s="256"/>
      <c r="E210" s="184"/>
    </row>
    <row r="211" spans="1:5">
      <c r="A211" s="184"/>
      <c r="B211" s="256"/>
      <c r="C211" s="256"/>
      <c r="D211" s="256"/>
      <c r="E211" s="184"/>
    </row>
    <row r="212" spans="1:5">
      <c r="A212" s="184"/>
      <c r="B212" s="256"/>
      <c r="C212" s="256"/>
      <c r="D212" s="256"/>
      <c r="E212" s="184"/>
    </row>
    <row r="213" spans="1:5">
      <c r="A213" s="184"/>
      <c r="B213" s="256"/>
      <c r="C213" s="256"/>
      <c r="D213" s="256"/>
      <c r="E213" s="184"/>
    </row>
    <row r="214" spans="1:5">
      <c r="A214" s="184"/>
      <c r="B214" s="256"/>
      <c r="C214" s="256"/>
      <c r="D214" s="256"/>
      <c r="E214" s="184"/>
    </row>
    <row r="215" spans="1:5">
      <c r="A215" s="184"/>
      <c r="B215" s="256"/>
      <c r="C215" s="256"/>
      <c r="D215" s="256"/>
      <c r="E215" s="184"/>
    </row>
    <row r="216" spans="1:5">
      <c r="A216" s="184"/>
      <c r="B216" s="256"/>
      <c r="C216" s="256"/>
      <c r="D216" s="256"/>
      <c r="E216" s="184"/>
    </row>
    <row r="217" spans="1:5">
      <c r="A217" s="184"/>
      <c r="B217" s="256"/>
      <c r="C217" s="256"/>
      <c r="D217" s="256"/>
      <c r="E217" s="184"/>
    </row>
    <row r="218" spans="1:5">
      <c r="A218" s="184"/>
      <c r="B218" s="256"/>
      <c r="C218" s="256"/>
      <c r="D218" s="256"/>
      <c r="E218" s="184"/>
    </row>
    <row r="219" spans="1:5">
      <c r="A219" s="184"/>
      <c r="B219" s="256"/>
      <c r="C219" s="256"/>
      <c r="D219" s="256"/>
      <c r="E219" s="184"/>
    </row>
    <row r="220" spans="1:5">
      <c r="A220" s="184"/>
      <c r="B220" s="256"/>
      <c r="C220" s="256"/>
      <c r="D220" s="256"/>
      <c r="E220" s="184"/>
    </row>
    <row r="221" spans="1:5">
      <c r="A221" s="184"/>
      <c r="B221" s="256"/>
      <c r="C221" s="256"/>
      <c r="D221" s="256"/>
      <c r="E221" s="184"/>
    </row>
    <row r="222" spans="1:5">
      <c r="A222" s="184"/>
      <c r="B222" s="256"/>
      <c r="C222" s="256"/>
      <c r="D222" s="256"/>
      <c r="E222" s="184"/>
    </row>
    <row r="223" spans="1:5">
      <c r="A223" s="184"/>
      <c r="B223" s="256"/>
      <c r="C223" s="256"/>
      <c r="D223" s="256"/>
      <c r="E223" s="184"/>
    </row>
    <row r="224" spans="1:5">
      <c r="A224" s="184"/>
      <c r="B224" s="256"/>
      <c r="C224" s="256"/>
      <c r="D224" s="256"/>
      <c r="E224" s="184"/>
    </row>
    <row r="225" spans="1:5">
      <c r="A225" s="184"/>
      <c r="B225" s="256"/>
      <c r="C225" s="256"/>
      <c r="D225" s="256"/>
      <c r="E225" s="184"/>
    </row>
    <row r="226" spans="1:5">
      <c r="A226" s="184"/>
      <c r="B226" s="256"/>
      <c r="C226" s="256"/>
      <c r="D226" s="256"/>
      <c r="E226" s="184"/>
    </row>
    <row r="227" spans="1:5">
      <c r="A227" s="184"/>
      <c r="B227" s="256"/>
      <c r="C227" s="256"/>
      <c r="D227" s="256"/>
      <c r="E227" s="184"/>
    </row>
    <row r="228" spans="1:5">
      <c r="A228" s="184"/>
      <c r="B228" s="256"/>
      <c r="C228" s="256"/>
      <c r="D228" s="256"/>
      <c r="E228" s="184"/>
    </row>
    <row r="229" spans="1:5">
      <c r="A229" s="184"/>
      <c r="B229" s="256"/>
      <c r="C229" s="256"/>
      <c r="D229" s="256"/>
      <c r="E229" s="184"/>
    </row>
    <row r="230" spans="1:5">
      <c r="A230" s="184"/>
      <c r="B230" s="256"/>
      <c r="C230" s="256"/>
      <c r="D230" s="256"/>
      <c r="E230" s="184"/>
    </row>
    <row r="231" spans="1:5">
      <c r="A231" s="184"/>
      <c r="B231" s="256"/>
      <c r="C231" s="256"/>
      <c r="D231" s="256"/>
      <c r="E231" s="184"/>
    </row>
    <row r="232" spans="1:5">
      <c r="A232" s="184"/>
      <c r="B232" s="256"/>
      <c r="C232" s="256"/>
      <c r="D232" s="256"/>
      <c r="E232" s="184"/>
    </row>
    <row r="233" spans="1:5">
      <c r="A233" s="184"/>
      <c r="B233" s="256"/>
      <c r="C233" s="256"/>
      <c r="D233" s="256"/>
      <c r="E233" s="184"/>
    </row>
    <row r="234" spans="1:5">
      <c r="A234" s="184"/>
      <c r="B234" s="256"/>
      <c r="C234" s="256"/>
      <c r="D234" s="256"/>
      <c r="E234" s="184"/>
    </row>
    <row r="235" spans="1:5">
      <c r="A235" s="184"/>
      <c r="B235" s="256"/>
      <c r="C235" s="256"/>
      <c r="D235" s="256"/>
      <c r="E235" s="184"/>
    </row>
    <row r="236" spans="1:5">
      <c r="A236" s="184"/>
      <c r="B236" s="256"/>
      <c r="C236" s="256"/>
      <c r="D236" s="256"/>
      <c r="E236" s="184"/>
    </row>
    <row r="237" spans="1:5">
      <c r="A237" s="184"/>
      <c r="B237" s="256"/>
      <c r="C237" s="256"/>
      <c r="D237" s="256"/>
      <c r="E237" s="184"/>
    </row>
    <row r="238" spans="1:5">
      <c r="A238" s="184"/>
      <c r="B238" s="256"/>
      <c r="C238" s="256"/>
      <c r="D238" s="256"/>
      <c r="E238" s="184"/>
    </row>
    <row r="239" spans="1:5">
      <c r="A239" s="184"/>
      <c r="B239" s="256"/>
      <c r="C239" s="256"/>
      <c r="D239" s="256"/>
      <c r="E239" s="184"/>
    </row>
    <row r="240" spans="1:5">
      <c r="A240" s="184"/>
      <c r="B240" s="256"/>
      <c r="C240" s="256"/>
      <c r="D240" s="256"/>
      <c r="E240" s="184"/>
    </row>
    <row r="241" spans="1:5">
      <c r="A241" s="184"/>
      <c r="B241" s="256"/>
      <c r="C241" s="256"/>
      <c r="D241" s="256"/>
      <c r="E241" s="184"/>
    </row>
    <row r="242" spans="1:5">
      <c r="A242" s="184"/>
      <c r="B242" s="256"/>
      <c r="C242" s="256"/>
      <c r="D242" s="256"/>
      <c r="E242" s="184"/>
    </row>
    <row r="243" spans="1:5">
      <c r="A243" s="184"/>
      <c r="B243" s="256"/>
      <c r="C243" s="256"/>
      <c r="D243" s="256"/>
      <c r="E243" s="184"/>
    </row>
    <row r="244" spans="1:5">
      <c r="A244" s="184"/>
      <c r="B244" s="256"/>
      <c r="C244" s="256"/>
      <c r="D244" s="256"/>
      <c r="E244" s="184"/>
    </row>
    <row r="245" spans="1:5">
      <c r="A245" s="184"/>
      <c r="B245" s="256"/>
      <c r="C245" s="256"/>
      <c r="D245" s="256"/>
      <c r="E245" s="184"/>
    </row>
    <row r="246" spans="1:5">
      <c r="A246" s="184"/>
      <c r="B246" s="256"/>
      <c r="C246" s="256"/>
      <c r="D246" s="256"/>
      <c r="E246" s="184"/>
    </row>
    <row r="247" spans="1:5">
      <c r="A247" s="184"/>
      <c r="B247" s="256"/>
      <c r="C247" s="256"/>
      <c r="D247" s="256"/>
      <c r="E247" s="184"/>
    </row>
    <row r="248" spans="1:5">
      <c r="A248" s="184"/>
      <c r="B248" s="256"/>
      <c r="C248" s="256"/>
      <c r="D248" s="256"/>
      <c r="E248" s="184"/>
    </row>
    <row r="249" spans="1:5">
      <c r="A249" s="184"/>
      <c r="B249" s="256"/>
      <c r="C249" s="256"/>
      <c r="D249" s="256"/>
      <c r="E249" s="184"/>
    </row>
    <row r="250" spans="1:5">
      <c r="A250" s="184"/>
      <c r="B250" s="256"/>
      <c r="C250" s="256"/>
      <c r="D250" s="256"/>
      <c r="E250" s="184"/>
    </row>
    <row r="251" spans="1:5">
      <c r="A251" s="184"/>
      <c r="B251" s="256"/>
      <c r="C251" s="256"/>
      <c r="D251" s="256"/>
      <c r="E251" s="184"/>
    </row>
    <row r="252" spans="1:5">
      <c r="A252" s="184"/>
      <c r="B252" s="256"/>
      <c r="C252" s="256"/>
      <c r="D252" s="256"/>
      <c r="E252" s="184"/>
    </row>
    <row r="253" spans="1:5">
      <c r="A253" s="184"/>
      <c r="B253" s="256"/>
      <c r="C253" s="256"/>
      <c r="D253" s="256"/>
      <c r="E253" s="184"/>
    </row>
    <row r="254" spans="1:5">
      <c r="A254" s="184"/>
      <c r="B254" s="256"/>
      <c r="C254" s="256"/>
      <c r="D254" s="256"/>
      <c r="E254" s="184"/>
    </row>
    <row r="255" spans="1:5">
      <c r="A255" s="184"/>
      <c r="B255" s="256"/>
      <c r="C255" s="256"/>
      <c r="D255" s="256"/>
      <c r="E255" s="184"/>
    </row>
    <row r="256" spans="1:5">
      <c r="A256" s="184"/>
      <c r="B256" s="256"/>
      <c r="C256" s="256"/>
      <c r="D256" s="256"/>
      <c r="E256" s="184"/>
    </row>
    <row r="257" spans="1:5">
      <c r="A257" s="184"/>
      <c r="B257" s="256"/>
      <c r="C257" s="256"/>
      <c r="D257" s="256"/>
      <c r="E257" s="184"/>
    </row>
    <row r="258" spans="1:5">
      <c r="A258" s="184"/>
      <c r="B258" s="256"/>
      <c r="C258" s="256"/>
      <c r="D258" s="256"/>
      <c r="E258" s="184"/>
    </row>
    <row r="259" spans="1:5">
      <c r="A259" s="184"/>
      <c r="B259" s="256"/>
      <c r="C259" s="256"/>
      <c r="D259" s="256"/>
      <c r="E259" s="184"/>
    </row>
    <row r="260" spans="1:5">
      <c r="A260" s="184"/>
      <c r="B260" s="256"/>
      <c r="C260" s="256"/>
      <c r="D260" s="256"/>
      <c r="E260" s="184"/>
    </row>
    <row r="261" spans="1:5">
      <c r="A261" s="184"/>
      <c r="B261" s="256"/>
      <c r="C261" s="256"/>
      <c r="D261" s="256"/>
      <c r="E261" s="184"/>
    </row>
    <row r="262" spans="1:5">
      <c r="A262" s="184"/>
      <c r="B262" s="256"/>
      <c r="C262" s="256"/>
      <c r="D262" s="256"/>
      <c r="E262" s="184"/>
    </row>
    <row r="263" spans="1:5">
      <c r="A263" s="184"/>
      <c r="B263" s="256"/>
      <c r="C263" s="256"/>
      <c r="D263" s="256"/>
      <c r="E263" s="184"/>
    </row>
    <row r="264" spans="1:5">
      <c r="A264" s="184"/>
      <c r="B264" s="256"/>
      <c r="C264" s="256"/>
      <c r="D264" s="256"/>
      <c r="E264" s="184"/>
    </row>
    <row r="265" spans="1:5">
      <c r="A265" s="184"/>
      <c r="B265" s="256"/>
      <c r="C265" s="256"/>
      <c r="D265" s="256"/>
      <c r="E265" s="184"/>
    </row>
    <row r="266" spans="1:5">
      <c r="A266" s="184"/>
      <c r="B266" s="256"/>
      <c r="C266" s="256"/>
      <c r="D266" s="256"/>
      <c r="E266" s="184"/>
    </row>
    <row r="267" spans="1:5">
      <c r="A267" s="184"/>
      <c r="B267" s="256"/>
      <c r="C267" s="256"/>
      <c r="D267" s="256"/>
      <c r="E267" s="184"/>
    </row>
    <row r="268" spans="1:5">
      <c r="A268" s="184"/>
      <c r="B268" s="256"/>
      <c r="C268" s="256"/>
      <c r="D268" s="256"/>
      <c r="E268" s="184"/>
    </row>
    <row r="269" spans="1:5">
      <c r="A269" s="184"/>
      <c r="B269" s="256"/>
      <c r="C269" s="256"/>
      <c r="D269" s="256"/>
      <c r="E269" s="184"/>
    </row>
    <row r="270" spans="1:5">
      <c r="A270" s="184"/>
      <c r="B270" s="256"/>
      <c r="C270" s="256"/>
      <c r="D270" s="256"/>
      <c r="E270" s="184"/>
    </row>
    <row r="271" spans="1:5">
      <c r="A271" s="184"/>
      <c r="B271" s="256"/>
      <c r="C271" s="256"/>
      <c r="D271" s="256"/>
      <c r="E271" s="184"/>
    </row>
    <row r="272" spans="1:5">
      <c r="A272" s="184"/>
      <c r="B272" s="256"/>
      <c r="C272" s="256"/>
      <c r="D272" s="256"/>
      <c r="E272" s="184"/>
    </row>
    <row r="273" spans="1:5">
      <c r="A273" s="184"/>
      <c r="B273" s="256"/>
      <c r="C273" s="256"/>
      <c r="D273" s="256"/>
      <c r="E273" s="184"/>
    </row>
    <row r="274" spans="1:5">
      <c r="A274" s="184"/>
      <c r="B274" s="256"/>
      <c r="C274" s="256"/>
      <c r="D274" s="256"/>
      <c r="E274" s="184"/>
    </row>
    <row r="275" spans="1:5">
      <c r="A275" s="184"/>
      <c r="B275" s="256"/>
      <c r="C275" s="256"/>
      <c r="D275" s="256"/>
      <c r="E275" s="184"/>
    </row>
    <row r="276" spans="1:5">
      <c r="A276" s="184"/>
      <c r="B276" s="256"/>
      <c r="C276" s="256"/>
      <c r="D276" s="256"/>
      <c r="E276" s="184"/>
    </row>
    <row r="277" spans="1:5">
      <c r="A277" s="184"/>
      <c r="B277" s="256"/>
      <c r="C277" s="256"/>
      <c r="D277" s="256"/>
      <c r="E277" s="184"/>
    </row>
    <row r="278" spans="1:5">
      <c r="A278" s="184"/>
      <c r="B278" s="256"/>
      <c r="C278" s="256"/>
      <c r="D278" s="256"/>
      <c r="E278" s="184"/>
    </row>
    <row r="279" spans="1:5">
      <c r="A279" s="184"/>
      <c r="B279" s="256"/>
      <c r="C279" s="256"/>
      <c r="D279" s="256"/>
      <c r="E279" s="184"/>
    </row>
    <row r="280" spans="1:5">
      <c r="A280" s="184"/>
      <c r="B280" s="256"/>
      <c r="C280" s="256"/>
      <c r="D280" s="256"/>
      <c r="E280" s="184"/>
    </row>
    <row r="281" spans="1:5">
      <c r="A281" s="184"/>
      <c r="B281" s="256"/>
      <c r="C281" s="256"/>
      <c r="D281" s="256"/>
      <c r="E281" s="184"/>
    </row>
    <row r="282" spans="1:5">
      <c r="A282" s="184"/>
      <c r="B282" s="256"/>
      <c r="C282" s="256"/>
      <c r="D282" s="256"/>
      <c r="E282" s="184"/>
    </row>
    <row r="283" spans="1:5">
      <c r="A283" s="184"/>
      <c r="B283" s="256"/>
      <c r="C283" s="256"/>
      <c r="D283" s="256"/>
      <c r="E283" s="184"/>
    </row>
    <row r="284" spans="1:5">
      <c r="A284" s="184"/>
      <c r="B284" s="256"/>
      <c r="C284" s="256"/>
      <c r="D284" s="256"/>
      <c r="E284" s="184"/>
    </row>
    <row r="285" spans="1:5">
      <c r="A285" s="184"/>
      <c r="B285" s="256"/>
      <c r="C285" s="256"/>
      <c r="D285" s="256"/>
      <c r="E285" s="184"/>
    </row>
    <row r="286" spans="1:5">
      <c r="A286" s="184"/>
      <c r="B286" s="256"/>
      <c r="C286" s="256"/>
      <c r="D286" s="256"/>
      <c r="E286" s="184"/>
    </row>
    <row r="287" spans="1:5">
      <c r="A287" s="184"/>
      <c r="B287" s="256"/>
      <c r="C287" s="256"/>
      <c r="D287" s="256"/>
      <c r="E287" s="184"/>
    </row>
    <row r="288" spans="1:5">
      <c r="A288" s="184"/>
      <c r="B288" s="256"/>
      <c r="C288" s="256"/>
      <c r="D288" s="256"/>
      <c r="E288" s="184"/>
    </row>
    <row r="289" spans="1:5">
      <c r="A289" s="184"/>
      <c r="B289" s="256"/>
      <c r="C289" s="256"/>
      <c r="D289" s="256"/>
      <c r="E289" s="184"/>
    </row>
    <row r="290" spans="1:5">
      <c r="A290" s="184"/>
      <c r="B290" s="256"/>
      <c r="C290" s="256"/>
      <c r="D290" s="256"/>
      <c r="E290" s="184"/>
    </row>
    <row r="291" spans="1:5">
      <c r="A291" s="184"/>
      <c r="B291" s="256"/>
      <c r="C291" s="256"/>
      <c r="D291" s="256"/>
      <c r="E291" s="184"/>
    </row>
    <row r="292" spans="1:5">
      <c r="A292" s="184"/>
      <c r="B292" s="256"/>
      <c r="C292" s="256"/>
      <c r="D292" s="256"/>
      <c r="E292" s="184"/>
    </row>
    <row r="293" spans="1:5">
      <c r="A293" s="184"/>
      <c r="B293" s="256"/>
      <c r="C293" s="256"/>
      <c r="D293" s="256"/>
      <c r="E293" s="184"/>
    </row>
    <row r="294" spans="1:5">
      <c r="A294" s="184"/>
      <c r="B294" s="256"/>
      <c r="C294" s="256"/>
      <c r="D294" s="256"/>
      <c r="E294" s="184"/>
    </row>
    <row r="295" spans="1:5">
      <c r="A295" s="184"/>
      <c r="B295" s="256"/>
      <c r="C295" s="256"/>
      <c r="D295" s="256"/>
      <c r="E295" s="184"/>
    </row>
    <row r="296" spans="1:5">
      <c r="A296" s="184"/>
      <c r="B296" s="256"/>
      <c r="C296" s="256"/>
      <c r="D296" s="256"/>
      <c r="E296" s="184"/>
    </row>
    <row r="297" spans="1:5">
      <c r="A297" s="184"/>
      <c r="B297" s="256"/>
      <c r="C297" s="256"/>
      <c r="D297" s="256"/>
      <c r="E297" s="184"/>
    </row>
    <row r="298" spans="1:5">
      <c r="A298" s="184"/>
      <c r="B298" s="256"/>
      <c r="C298" s="256"/>
      <c r="D298" s="256"/>
      <c r="E298" s="184"/>
    </row>
    <row r="299" spans="1:5">
      <c r="A299" s="184"/>
      <c r="B299" s="256"/>
      <c r="C299" s="256"/>
      <c r="D299" s="256"/>
      <c r="E299" s="184"/>
    </row>
    <row r="300" spans="1:5">
      <c r="A300" s="184"/>
      <c r="B300" s="256"/>
      <c r="C300" s="256"/>
      <c r="D300" s="256"/>
      <c r="E300" s="184"/>
    </row>
    <row r="301" spans="1:5">
      <c r="A301" s="184"/>
      <c r="B301" s="256"/>
      <c r="C301" s="256"/>
      <c r="D301" s="256"/>
      <c r="E301" s="184"/>
    </row>
    <row r="302" spans="1:5">
      <c r="A302" s="184"/>
      <c r="B302" s="256"/>
      <c r="C302" s="256"/>
      <c r="D302" s="256"/>
      <c r="E302" s="184"/>
    </row>
    <row r="303" spans="1:5">
      <c r="A303" s="184"/>
      <c r="B303" s="256"/>
      <c r="C303" s="256"/>
      <c r="D303" s="256"/>
      <c r="E303" s="184"/>
    </row>
    <row r="304" spans="1:5">
      <c r="A304" s="184"/>
      <c r="B304" s="256"/>
      <c r="C304" s="256"/>
      <c r="D304" s="256"/>
      <c r="E304" s="184"/>
    </row>
    <row r="305" spans="1:5">
      <c r="A305" s="184"/>
      <c r="B305" s="256"/>
      <c r="C305" s="256"/>
      <c r="D305" s="256"/>
      <c r="E305" s="184"/>
    </row>
    <row r="306" spans="1:5">
      <c r="A306" s="184"/>
      <c r="B306" s="256"/>
      <c r="C306" s="256"/>
      <c r="D306" s="256"/>
      <c r="E306" s="184"/>
    </row>
    <row r="307" spans="1:5">
      <c r="A307" s="184"/>
      <c r="B307" s="256"/>
      <c r="C307" s="256"/>
      <c r="D307" s="256"/>
      <c r="E307" s="184"/>
    </row>
    <row r="308" spans="1:5">
      <c r="A308" s="184"/>
      <c r="B308" s="256"/>
      <c r="C308" s="256"/>
      <c r="D308" s="256"/>
      <c r="E308" s="184"/>
    </row>
    <row r="309" spans="1:5">
      <c r="A309" s="184"/>
      <c r="B309" s="256"/>
      <c r="C309" s="256"/>
      <c r="D309" s="256"/>
      <c r="E309" s="184"/>
    </row>
    <row r="310" spans="1:5">
      <c r="A310" s="184"/>
      <c r="B310" s="256"/>
      <c r="C310" s="256"/>
      <c r="D310" s="256"/>
      <c r="E310" s="184"/>
    </row>
    <row r="311" spans="1:5">
      <c r="A311" s="184"/>
      <c r="B311" s="256"/>
      <c r="C311" s="256"/>
      <c r="D311" s="256"/>
      <c r="E311" s="184"/>
    </row>
    <row r="312" spans="1:5">
      <c r="A312" s="184"/>
      <c r="B312" s="256"/>
      <c r="C312" s="256"/>
      <c r="D312" s="256"/>
      <c r="E312" s="184"/>
    </row>
    <row r="313" spans="1:5">
      <c r="A313" s="184"/>
      <c r="B313" s="256"/>
      <c r="C313" s="256"/>
      <c r="D313" s="256"/>
      <c r="E313" s="184"/>
    </row>
    <row r="314" spans="1:5">
      <c r="A314" s="184"/>
      <c r="B314" s="256"/>
      <c r="C314" s="256"/>
      <c r="D314" s="256"/>
      <c r="E314" s="184"/>
    </row>
    <row r="315" spans="1:5">
      <c r="A315" s="184"/>
      <c r="B315" s="256"/>
      <c r="C315" s="256"/>
      <c r="D315" s="256"/>
      <c r="E315" s="184"/>
    </row>
    <row r="316" spans="1:5">
      <c r="A316" s="184"/>
      <c r="B316" s="256"/>
      <c r="C316" s="256"/>
      <c r="D316" s="256"/>
      <c r="E316" s="184"/>
    </row>
    <row r="317" spans="1:5">
      <c r="A317" s="184"/>
      <c r="B317" s="256"/>
      <c r="C317" s="256"/>
      <c r="D317" s="256"/>
      <c r="E317" s="184"/>
    </row>
    <row r="318" spans="1:5">
      <c r="A318" s="184"/>
      <c r="B318" s="256"/>
      <c r="C318" s="256"/>
      <c r="D318" s="256"/>
      <c r="E318" s="184"/>
    </row>
    <row r="319" spans="1:5">
      <c r="A319" s="184"/>
      <c r="B319" s="256"/>
      <c r="C319" s="256"/>
      <c r="D319" s="256"/>
      <c r="E319" s="184"/>
    </row>
    <row r="320" spans="1:5">
      <c r="A320" s="184"/>
      <c r="B320" s="256"/>
      <c r="C320" s="256"/>
      <c r="D320" s="256"/>
      <c r="E320" s="184"/>
    </row>
    <row r="321" spans="1:5">
      <c r="A321" s="184"/>
      <c r="B321" s="256"/>
      <c r="C321" s="256"/>
      <c r="D321" s="256"/>
      <c r="E321" s="184"/>
    </row>
    <row r="322" spans="1:5">
      <c r="A322" s="184"/>
      <c r="B322" s="256"/>
      <c r="C322" s="256"/>
      <c r="D322" s="256"/>
      <c r="E322" s="184"/>
    </row>
    <row r="323" spans="1:5">
      <c r="A323" s="184"/>
      <c r="B323" s="256"/>
      <c r="C323" s="256"/>
      <c r="D323" s="256"/>
      <c r="E323" s="184"/>
    </row>
    <row r="324" spans="1:5">
      <c r="A324" s="184"/>
      <c r="B324" s="256"/>
      <c r="C324" s="256"/>
      <c r="D324" s="256"/>
      <c r="E324" s="184"/>
    </row>
    <row r="325" spans="1:5">
      <c r="A325" s="184"/>
      <c r="B325" s="256"/>
      <c r="C325" s="256"/>
      <c r="D325" s="256"/>
      <c r="E325" s="184"/>
    </row>
    <row r="326" spans="1:5">
      <c r="A326" s="184"/>
      <c r="B326" s="256"/>
      <c r="C326" s="256"/>
      <c r="D326" s="256"/>
      <c r="E326" s="184"/>
    </row>
    <row r="327" spans="1:5">
      <c r="A327" s="184"/>
      <c r="B327" s="256"/>
      <c r="C327" s="256"/>
      <c r="D327" s="256"/>
      <c r="E327" s="184"/>
    </row>
    <row r="328" spans="1:5">
      <c r="A328" s="184"/>
      <c r="B328" s="256"/>
      <c r="C328" s="256"/>
      <c r="D328" s="256"/>
      <c r="E328" s="184"/>
    </row>
    <row r="329" spans="1:5">
      <c r="A329" s="184"/>
      <c r="B329" s="256"/>
      <c r="C329" s="256"/>
      <c r="D329" s="256"/>
      <c r="E329" s="184"/>
    </row>
    <row r="330" spans="1:5">
      <c r="A330" s="184"/>
      <c r="B330" s="256"/>
      <c r="C330" s="256"/>
      <c r="D330" s="256"/>
      <c r="E330" s="184"/>
    </row>
    <row r="331" spans="1:5">
      <c r="A331" s="184"/>
      <c r="B331" s="256"/>
      <c r="C331" s="256"/>
      <c r="D331" s="256"/>
      <c r="E331" s="184"/>
    </row>
    <row r="332" spans="1:5">
      <c r="A332" s="184"/>
      <c r="B332" s="256"/>
      <c r="C332" s="256"/>
      <c r="D332" s="256"/>
      <c r="E332" s="184"/>
    </row>
    <row r="333" spans="1:5">
      <c r="A333" s="184"/>
      <c r="B333" s="256"/>
      <c r="C333" s="256"/>
      <c r="D333" s="256"/>
      <c r="E333" s="184"/>
    </row>
    <row r="334" spans="1:5">
      <c r="A334" s="184"/>
      <c r="B334" s="256"/>
      <c r="C334" s="256"/>
      <c r="D334" s="256"/>
      <c r="E334" s="184"/>
    </row>
    <row r="335" spans="1:5">
      <c r="A335" s="184"/>
      <c r="B335" s="256"/>
      <c r="C335" s="256"/>
      <c r="D335" s="256"/>
      <c r="E335" s="184"/>
    </row>
    <row r="336" spans="1:5">
      <c r="A336" s="184"/>
      <c r="B336" s="256"/>
      <c r="C336" s="256"/>
      <c r="D336" s="256"/>
      <c r="E336" s="184"/>
    </row>
    <row r="337" spans="1:5">
      <c r="A337" s="184"/>
      <c r="B337" s="256"/>
      <c r="C337" s="256"/>
      <c r="D337" s="256"/>
      <c r="E337" s="184"/>
    </row>
    <row r="338" spans="1:5">
      <c r="A338" s="184"/>
      <c r="B338" s="256"/>
      <c r="C338" s="256"/>
      <c r="D338" s="256"/>
      <c r="E338" s="184"/>
    </row>
    <row r="339" spans="1:5">
      <c r="A339" s="184"/>
      <c r="B339" s="256"/>
      <c r="C339" s="256"/>
      <c r="D339" s="256"/>
      <c r="E339" s="184"/>
    </row>
    <row r="340" spans="1:5">
      <c r="A340" s="184"/>
      <c r="B340" s="256"/>
      <c r="C340" s="256"/>
      <c r="D340" s="256"/>
      <c r="E340" s="184"/>
    </row>
    <row r="341" spans="1:5">
      <c r="A341" s="184"/>
      <c r="B341" s="256"/>
      <c r="C341" s="256"/>
      <c r="D341" s="256"/>
      <c r="E341" s="184"/>
    </row>
    <row r="342" spans="1:5">
      <c r="A342" s="184"/>
      <c r="B342" s="256"/>
      <c r="C342" s="256"/>
      <c r="D342" s="256"/>
      <c r="E342" s="184"/>
    </row>
    <row r="343" spans="1:5">
      <c r="A343" s="184"/>
      <c r="B343" s="256"/>
      <c r="C343" s="256"/>
      <c r="D343" s="256"/>
      <c r="E343" s="184"/>
    </row>
    <row r="344" spans="1:5">
      <c r="A344" s="184"/>
      <c r="B344" s="256"/>
      <c r="C344" s="256"/>
      <c r="D344" s="256"/>
      <c r="E344" s="184"/>
    </row>
    <row r="345" spans="1:5">
      <c r="A345" s="184"/>
      <c r="B345" s="256"/>
      <c r="C345" s="256"/>
      <c r="D345" s="256"/>
      <c r="E345" s="184"/>
    </row>
    <row r="346" spans="1:5">
      <c r="A346" s="184"/>
      <c r="B346" s="256"/>
      <c r="C346" s="256"/>
      <c r="D346" s="256"/>
      <c r="E346" s="184"/>
    </row>
    <row r="347" spans="1:5">
      <c r="A347" s="184"/>
      <c r="B347" s="256"/>
      <c r="C347" s="256"/>
      <c r="D347" s="256"/>
      <c r="E347" s="184"/>
    </row>
    <row r="348" spans="1:5">
      <c r="A348" s="184"/>
      <c r="B348" s="256"/>
      <c r="C348" s="256"/>
      <c r="D348" s="256"/>
      <c r="E348" s="184"/>
    </row>
    <row r="349" spans="1:5">
      <c r="A349" s="184"/>
      <c r="B349" s="256"/>
      <c r="C349" s="256"/>
      <c r="D349" s="256"/>
      <c r="E349" s="184"/>
    </row>
    <row r="350" spans="1:5">
      <c r="A350" s="184"/>
      <c r="B350" s="256"/>
      <c r="C350" s="256"/>
      <c r="D350" s="256"/>
      <c r="E350" s="184"/>
    </row>
    <row r="351" spans="1:5">
      <c r="A351" s="184"/>
      <c r="B351" s="256"/>
      <c r="C351" s="256"/>
      <c r="D351" s="256"/>
      <c r="E351" s="184"/>
    </row>
    <row r="352" spans="1:5">
      <c r="A352" s="184"/>
      <c r="B352" s="256"/>
      <c r="C352" s="256"/>
      <c r="D352" s="256"/>
      <c r="E352" s="184"/>
    </row>
    <row r="353" spans="1:5">
      <c r="A353" s="184"/>
      <c r="B353" s="256"/>
      <c r="C353" s="256"/>
      <c r="D353" s="256"/>
      <c r="E353" s="184"/>
    </row>
    <row r="354" spans="1:5">
      <c r="A354" s="184"/>
      <c r="B354" s="256"/>
      <c r="C354" s="256"/>
      <c r="D354" s="256"/>
      <c r="E354" s="184"/>
    </row>
    <row r="355" spans="1:5">
      <c r="A355" s="184"/>
      <c r="B355" s="256"/>
      <c r="C355" s="256"/>
      <c r="D355" s="256"/>
      <c r="E355" s="184"/>
    </row>
    <row r="356" spans="1:5">
      <c r="A356" s="184"/>
      <c r="B356" s="256"/>
      <c r="C356" s="256"/>
      <c r="D356" s="256"/>
      <c r="E356" s="184"/>
    </row>
    <row r="357" spans="1:5">
      <c r="A357" s="184"/>
      <c r="B357" s="256"/>
      <c r="C357" s="256"/>
      <c r="D357" s="256"/>
      <c r="E357" s="184"/>
    </row>
    <row r="358" spans="1:5">
      <c r="A358" s="184"/>
      <c r="B358" s="256"/>
      <c r="C358" s="256"/>
      <c r="D358" s="256"/>
      <c r="E358" s="184"/>
    </row>
    <row r="359" spans="1:5">
      <c r="A359" s="184"/>
      <c r="B359" s="256"/>
      <c r="C359" s="256"/>
      <c r="D359" s="256"/>
      <c r="E359" s="184"/>
    </row>
    <row r="360" spans="1:5">
      <c r="A360" s="184"/>
      <c r="B360" s="256"/>
      <c r="C360" s="256"/>
      <c r="D360" s="256"/>
      <c r="E360" s="184"/>
    </row>
    <row r="361" spans="1:5">
      <c r="A361" s="184"/>
      <c r="B361" s="256"/>
      <c r="C361" s="256"/>
      <c r="D361" s="256"/>
      <c r="E361" s="184"/>
    </row>
    <row r="362" spans="1:5">
      <c r="A362" s="184"/>
      <c r="B362" s="256"/>
      <c r="C362" s="256"/>
      <c r="D362" s="256"/>
      <c r="E362" s="184"/>
    </row>
    <row r="363" spans="1:5">
      <c r="A363" s="184"/>
      <c r="B363" s="256"/>
      <c r="C363" s="256"/>
      <c r="D363" s="256"/>
      <c r="E363" s="184"/>
    </row>
    <row r="364" spans="1:5">
      <c r="A364" s="184"/>
      <c r="B364" s="256"/>
      <c r="C364" s="256"/>
      <c r="D364" s="256"/>
      <c r="E364" s="184"/>
    </row>
    <row r="365" spans="1:5">
      <c r="A365" s="184"/>
      <c r="B365" s="256"/>
      <c r="C365" s="256"/>
      <c r="D365" s="256"/>
      <c r="E365" s="184"/>
    </row>
    <row r="366" spans="1:5">
      <c r="A366" s="184"/>
      <c r="B366" s="256"/>
      <c r="C366" s="256"/>
      <c r="D366" s="256"/>
      <c r="E366" s="184"/>
    </row>
    <row r="367" spans="1:5">
      <c r="A367" s="184"/>
      <c r="B367" s="256"/>
      <c r="C367" s="256"/>
      <c r="D367" s="256"/>
      <c r="E367" s="184"/>
    </row>
    <row r="368" spans="1:5">
      <c r="A368" s="184"/>
      <c r="B368" s="256"/>
      <c r="C368" s="256"/>
      <c r="D368" s="256"/>
      <c r="E368" s="184"/>
    </row>
    <row r="369" spans="1:5">
      <c r="A369" s="184"/>
      <c r="B369" s="256"/>
      <c r="C369" s="256"/>
      <c r="D369" s="256"/>
      <c r="E369" s="184"/>
    </row>
    <row r="370" spans="1:5">
      <c r="A370" s="184"/>
      <c r="B370" s="256"/>
      <c r="C370" s="256"/>
      <c r="D370" s="256"/>
      <c r="E370" s="184"/>
    </row>
    <row r="371" spans="1:5">
      <c r="A371" s="184"/>
      <c r="B371" s="256"/>
      <c r="C371" s="256"/>
      <c r="D371" s="256"/>
      <c r="E371" s="184"/>
    </row>
    <row r="372" spans="1:5">
      <c r="A372" s="184"/>
      <c r="B372" s="256"/>
      <c r="C372" s="256"/>
      <c r="D372" s="256"/>
      <c r="E372" s="184"/>
    </row>
    <row r="373" spans="1:5">
      <c r="A373" s="184"/>
      <c r="B373" s="256"/>
      <c r="C373" s="256"/>
      <c r="D373" s="256"/>
      <c r="E373" s="184"/>
    </row>
    <row r="374" spans="1:5">
      <c r="A374" s="184"/>
      <c r="B374" s="256"/>
      <c r="C374" s="256"/>
      <c r="D374" s="256"/>
      <c r="E374" s="184"/>
    </row>
    <row r="375" spans="1:5">
      <c r="A375" s="184"/>
      <c r="B375" s="256"/>
      <c r="C375" s="256"/>
      <c r="D375" s="256"/>
      <c r="E375" s="184"/>
    </row>
    <row r="376" spans="1:5">
      <c r="A376" s="184"/>
      <c r="B376" s="256"/>
      <c r="C376" s="256"/>
      <c r="D376" s="256"/>
      <c r="E376" s="184"/>
    </row>
    <row r="377" spans="1:5">
      <c r="A377" s="184"/>
      <c r="B377" s="256"/>
      <c r="C377" s="256"/>
      <c r="D377" s="256"/>
      <c r="E377" s="184"/>
    </row>
    <row r="378" spans="1:5">
      <c r="A378" s="184"/>
      <c r="B378" s="256"/>
      <c r="C378" s="256"/>
      <c r="D378" s="256"/>
      <c r="E378" s="184"/>
    </row>
    <row r="379" spans="1:5">
      <c r="A379" s="184"/>
      <c r="B379" s="256"/>
      <c r="C379" s="256"/>
      <c r="D379" s="256"/>
      <c r="E379" s="184"/>
    </row>
    <row r="380" spans="1:5">
      <c r="A380" s="184"/>
      <c r="B380" s="256"/>
      <c r="C380" s="256"/>
      <c r="D380" s="256"/>
      <c r="E380" s="184"/>
    </row>
    <row r="381" spans="1:5">
      <c r="A381" s="184"/>
      <c r="B381" s="256"/>
      <c r="C381" s="256"/>
      <c r="D381" s="256"/>
      <c r="E381" s="184"/>
    </row>
    <row r="382" spans="1:5">
      <c r="A382" s="184"/>
      <c r="B382" s="256"/>
      <c r="C382" s="256"/>
      <c r="D382" s="256"/>
      <c r="E382" s="184"/>
    </row>
    <row r="383" spans="1:5">
      <c r="A383" s="184"/>
      <c r="B383" s="256"/>
      <c r="C383" s="256"/>
      <c r="D383" s="256"/>
      <c r="E383" s="184"/>
    </row>
    <row r="384" spans="1:5">
      <c r="A384" s="184"/>
      <c r="B384" s="256"/>
      <c r="C384" s="256"/>
      <c r="D384" s="256"/>
      <c r="E384" s="184"/>
    </row>
    <row r="385" spans="1:5">
      <c r="A385" s="184"/>
      <c r="B385" s="256"/>
      <c r="C385" s="256"/>
      <c r="D385" s="256"/>
      <c r="E385" s="184"/>
    </row>
    <row r="386" spans="1:5">
      <c r="A386" s="184"/>
      <c r="B386" s="256"/>
      <c r="C386" s="256"/>
      <c r="D386" s="256"/>
      <c r="E386" s="184"/>
    </row>
    <row r="387" spans="1:5">
      <c r="A387" s="184"/>
      <c r="B387" s="256"/>
      <c r="C387" s="256"/>
      <c r="D387" s="256"/>
      <c r="E387" s="184"/>
    </row>
    <row r="388" spans="1:5">
      <c r="A388" s="184"/>
      <c r="B388" s="256"/>
      <c r="C388" s="256"/>
      <c r="D388" s="256"/>
      <c r="E388" s="184"/>
    </row>
    <row r="389" spans="1:5">
      <c r="A389" s="184"/>
      <c r="B389" s="256"/>
      <c r="C389" s="256"/>
      <c r="D389" s="256"/>
      <c r="E389" s="184"/>
    </row>
    <row r="390" spans="1:5">
      <c r="A390" s="184"/>
      <c r="B390" s="256"/>
      <c r="C390" s="256"/>
      <c r="D390" s="256"/>
      <c r="E390" s="184"/>
    </row>
    <row r="391" spans="1:5">
      <c r="A391" s="184"/>
      <c r="B391" s="256"/>
      <c r="C391" s="256"/>
      <c r="D391" s="256"/>
      <c r="E391" s="184"/>
    </row>
    <row r="392" spans="1:5">
      <c r="A392" s="184"/>
      <c r="B392" s="256"/>
      <c r="C392" s="256"/>
      <c r="D392" s="256"/>
      <c r="E392" s="184"/>
    </row>
    <row r="393" spans="1:5">
      <c r="A393" s="184"/>
      <c r="B393" s="256"/>
      <c r="C393" s="256"/>
      <c r="D393" s="256"/>
      <c r="E393" s="184"/>
    </row>
    <row r="394" spans="1:5">
      <c r="A394" s="184"/>
      <c r="B394" s="256"/>
      <c r="C394" s="256"/>
      <c r="D394" s="256"/>
      <c r="E394" s="184"/>
    </row>
    <row r="395" spans="1:5">
      <c r="A395" s="184"/>
      <c r="B395" s="256"/>
      <c r="C395" s="256"/>
      <c r="D395" s="256"/>
      <c r="E395" s="184"/>
    </row>
    <row r="396" spans="1:5">
      <c r="A396" s="184"/>
      <c r="B396" s="256"/>
      <c r="C396" s="256"/>
      <c r="D396" s="256"/>
      <c r="E396" s="184"/>
    </row>
    <row r="397" spans="1:5">
      <c r="A397" s="184"/>
      <c r="B397" s="256"/>
      <c r="C397" s="256"/>
      <c r="D397" s="256"/>
      <c r="E397" s="184"/>
    </row>
    <row r="398" spans="1:5">
      <c r="A398" s="184"/>
      <c r="B398" s="256"/>
      <c r="C398" s="256"/>
      <c r="D398" s="256"/>
      <c r="E398" s="184"/>
    </row>
    <row r="399" spans="1:5">
      <c r="A399" s="184"/>
      <c r="B399" s="256"/>
      <c r="C399" s="256"/>
      <c r="D399" s="256"/>
      <c r="E399" s="184"/>
    </row>
    <row r="400" spans="1:5">
      <c r="A400" s="184"/>
      <c r="B400" s="256"/>
      <c r="C400" s="256"/>
      <c r="D400" s="256"/>
      <c r="E400" s="184"/>
    </row>
    <row r="401" spans="1:5">
      <c r="A401" s="184"/>
      <c r="B401" s="256"/>
      <c r="C401" s="256"/>
      <c r="D401" s="256"/>
      <c r="E401" s="184"/>
    </row>
    <row r="402" spans="1:5">
      <c r="A402" s="184"/>
      <c r="B402" s="256"/>
      <c r="C402" s="256"/>
      <c r="D402" s="256"/>
      <c r="E402" s="184"/>
    </row>
    <row r="403" spans="1:5">
      <c r="A403" s="184"/>
      <c r="B403" s="256"/>
      <c r="C403" s="256"/>
      <c r="D403" s="256"/>
      <c r="E403" s="184"/>
    </row>
    <row r="404" spans="1:5">
      <c r="A404" s="184"/>
      <c r="B404" s="256"/>
      <c r="C404" s="256"/>
      <c r="D404" s="256"/>
      <c r="E404" s="184"/>
    </row>
    <row r="405" spans="1:5">
      <c r="A405" s="184"/>
      <c r="B405" s="256"/>
      <c r="C405" s="256"/>
      <c r="D405" s="256"/>
      <c r="E405" s="184"/>
    </row>
    <row r="406" spans="1:5">
      <c r="A406" s="184"/>
      <c r="B406" s="256"/>
      <c r="C406" s="256"/>
      <c r="D406" s="256"/>
      <c r="E406" s="184"/>
    </row>
    <row r="407" spans="1:5">
      <c r="A407" s="184"/>
      <c r="B407" s="256"/>
      <c r="C407" s="256"/>
      <c r="D407" s="256"/>
      <c r="E407" s="184"/>
    </row>
    <row r="408" spans="1:5">
      <c r="A408" s="184"/>
      <c r="B408" s="256"/>
      <c r="C408" s="256"/>
      <c r="D408" s="256"/>
      <c r="E408" s="184"/>
    </row>
    <row r="409" spans="1:5">
      <c r="A409" s="184"/>
      <c r="B409" s="256"/>
      <c r="C409" s="256"/>
      <c r="D409" s="256"/>
      <c r="E409" s="184"/>
    </row>
    <row r="410" spans="1:5">
      <c r="A410" s="184"/>
      <c r="B410" s="256"/>
      <c r="C410" s="256"/>
      <c r="D410" s="256"/>
      <c r="E410" s="184"/>
    </row>
    <row r="411" spans="1:5">
      <c r="A411" s="184"/>
      <c r="B411" s="256"/>
      <c r="C411" s="256"/>
      <c r="D411" s="256"/>
      <c r="E411" s="184"/>
    </row>
    <row r="412" spans="1:5">
      <c r="A412" s="184"/>
      <c r="B412" s="256"/>
      <c r="C412" s="256"/>
      <c r="D412" s="256"/>
      <c r="E412" s="184"/>
    </row>
    <row r="413" spans="1:5">
      <c r="A413" s="184"/>
      <c r="B413" s="256"/>
      <c r="C413" s="256"/>
      <c r="D413" s="256"/>
      <c r="E413" s="184"/>
    </row>
    <row r="414" spans="1:5">
      <c r="A414" s="184"/>
      <c r="B414" s="256"/>
      <c r="C414" s="256"/>
      <c r="D414" s="256"/>
      <c r="E414" s="184"/>
    </row>
    <row r="415" spans="1:5">
      <c r="A415" s="184"/>
      <c r="B415" s="256"/>
      <c r="C415" s="256"/>
      <c r="D415" s="256"/>
      <c r="E415" s="184"/>
    </row>
    <row r="416" spans="1:5">
      <c r="A416" s="184"/>
      <c r="B416" s="256"/>
      <c r="C416" s="256"/>
      <c r="D416" s="256"/>
      <c r="E416" s="184"/>
    </row>
    <row r="417" spans="1:5">
      <c r="A417" s="184"/>
      <c r="B417" s="256"/>
      <c r="C417" s="256"/>
      <c r="D417" s="256"/>
      <c r="E417" s="184"/>
    </row>
    <row r="418" spans="1:5">
      <c r="A418" s="184"/>
      <c r="B418" s="256"/>
      <c r="C418" s="256"/>
      <c r="D418" s="256"/>
      <c r="E418" s="184"/>
    </row>
    <row r="419" spans="1:5">
      <c r="A419" s="184"/>
      <c r="B419" s="256"/>
      <c r="C419" s="256"/>
      <c r="D419" s="256"/>
      <c r="E419" s="184"/>
    </row>
    <row r="420" spans="1:5">
      <c r="A420" s="184"/>
      <c r="B420" s="256"/>
      <c r="C420" s="256"/>
      <c r="D420" s="256"/>
      <c r="E420" s="184"/>
    </row>
    <row r="421" spans="1:5">
      <c r="A421" s="184"/>
      <c r="B421" s="256"/>
      <c r="C421" s="256"/>
      <c r="D421" s="256"/>
      <c r="E421" s="184"/>
    </row>
    <row r="422" spans="1:5">
      <c r="A422" s="184"/>
      <c r="B422" s="256"/>
      <c r="C422" s="256"/>
      <c r="D422" s="256"/>
      <c r="E422" s="184"/>
    </row>
    <row r="423" spans="1:5">
      <c r="A423" s="184"/>
      <c r="B423" s="256"/>
      <c r="C423" s="256"/>
      <c r="D423" s="256"/>
      <c r="E423" s="184"/>
    </row>
    <row r="424" spans="1:5">
      <c r="A424" s="184"/>
      <c r="B424" s="256"/>
      <c r="C424" s="256"/>
      <c r="D424" s="256"/>
      <c r="E424" s="184"/>
    </row>
    <row r="425" spans="1:5">
      <c r="A425" s="184"/>
      <c r="B425" s="256"/>
      <c r="C425" s="256"/>
      <c r="D425" s="256"/>
      <c r="E425" s="184"/>
    </row>
    <row r="426" spans="1:5">
      <c r="A426" s="184"/>
      <c r="B426" s="256"/>
      <c r="C426" s="256"/>
      <c r="D426" s="256"/>
      <c r="E426" s="184"/>
    </row>
    <row r="427" spans="1:5">
      <c r="A427" s="184"/>
      <c r="B427" s="256"/>
      <c r="C427" s="256"/>
      <c r="D427" s="256"/>
      <c r="E427" s="184"/>
    </row>
    <row r="428" spans="1:5">
      <c r="A428" s="184"/>
      <c r="B428" s="256"/>
      <c r="C428" s="256"/>
      <c r="D428" s="256"/>
      <c r="E428" s="184"/>
    </row>
    <row r="429" spans="1:5">
      <c r="A429" s="184"/>
      <c r="B429" s="256"/>
      <c r="C429" s="256"/>
      <c r="D429" s="256"/>
      <c r="E429" s="184"/>
    </row>
    <row r="430" spans="1:5">
      <c r="A430" s="184"/>
      <c r="B430" s="256"/>
      <c r="C430" s="256"/>
      <c r="D430" s="256"/>
      <c r="E430" s="184"/>
    </row>
    <row r="431" spans="1:5">
      <c r="A431" s="184"/>
      <c r="B431" s="256"/>
      <c r="C431" s="256"/>
      <c r="D431" s="256"/>
      <c r="E431" s="184"/>
    </row>
    <row r="432" spans="1:5">
      <c r="A432" s="184"/>
      <c r="B432" s="256"/>
      <c r="C432" s="256"/>
      <c r="D432" s="256"/>
      <c r="E432" s="184"/>
    </row>
    <row r="433" spans="1:5">
      <c r="A433" s="184"/>
      <c r="B433" s="256"/>
      <c r="C433" s="256"/>
      <c r="D433" s="256"/>
      <c r="E433" s="184"/>
    </row>
    <row r="434" spans="1:5">
      <c r="A434" s="184"/>
      <c r="B434" s="256"/>
      <c r="C434" s="256"/>
      <c r="D434" s="256"/>
      <c r="E434" s="184"/>
    </row>
    <row r="435" spans="1:5">
      <c r="A435" s="184"/>
      <c r="B435" s="256"/>
      <c r="C435" s="256"/>
      <c r="D435" s="256"/>
      <c r="E435" s="184"/>
    </row>
    <row r="436" spans="1:5">
      <c r="A436" s="184"/>
      <c r="B436" s="256"/>
      <c r="C436" s="256"/>
      <c r="D436" s="256"/>
      <c r="E436" s="184"/>
    </row>
    <row r="437" spans="1:5">
      <c r="A437" s="184"/>
      <c r="B437" s="256"/>
      <c r="C437" s="256"/>
      <c r="D437" s="256"/>
      <c r="E437" s="184"/>
    </row>
    <row r="438" spans="1:5">
      <c r="A438" s="184"/>
      <c r="B438" s="256"/>
      <c r="C438" s="256"/>
      <c r="D438" s="256"/>
      <c r="E438" s="184"/>
    </row>
    <row r="439" spans="1:5">
      <c r="A439" s="184"/>
      <c r="B439" s="256"/>
      <c r="C439" s="256"/>
      <c r="D439" s="256"/>
      <c r="E439" s="184"/>
    </row>
    <row r="440" spans="1:5">
      <c r="A440" s="184"/>
      <c r="B440" s="256"/>
      <c r="C440" s="256"/>
      <c r="D440" s="256"/>
      <c r="E440" s="184"/>
    </row>
    <row r="441" spans="1:5">
      <c r="A441" s="184"/>
      <c r="B441" s="256"/>
      <c r="C441" s="256"/>
      <c r="D441" s="256"/>
      <c r="E441" s="184"/>
    </row>
    <row r="442" spans="1:5">
      <c r="A442" s="184"/>
      <c r="B442" s="256"/>
      <c r="C442" s="256"/>
      <c r="D442" s="256"/>
      <c r="E442" s="184"/>
    </row>
    <row r="443" spans="1:5">
      <c r="A443" s="184"/>
      <c r="B443" s="256"/>
      <c r="C443" s="256"/>
      <c r="D443" s="256"/>
      <c r="E443" s="184"/>
    </row>
    <row r="444" spans="1:5">
      <c r="A444" s="184"/>
      <c r="B444" s="256"/>
      <c r="C444" s="256"/>
      <c r="D444" s="256"/>
      <c r="E444" s="184"/>
    </row>
    <row r="445" spans="1:5">
      <c r="A445" s="184"/>
      <c r="B445" s="256"/>
      <c r="C445" s="256"/>
      <c r="D445" s="256"/>
      <c r="E445" s="184"/>
    </row>
    <row r="446" spans="1:5">
      <c r="A446" s="184"/>
      <c r="B446" s="256"/>
      <c r="C446" s="256"/>
      <c r="D446" s="256"/>
      <c r="E446" s="184"/>
    </row>
    <row r="447" spans="1:5">
      <c r="A447" s="184"/>
      <c r="B447" s="256"/>
      <c r="C447" s="256"/>
      <c r="D447" s="256"/>
      <c r="E447" s="184"/>
    </row>
    <row r="448" spans="1:5">
      <c r="A448" s="184"/>
      <c r="B448" s="256"/>
      <c r="C448" s="256"/>
      <c r="D448" s="256"/>
      <c r="E448" s="184"/>
    </row>
    <row r="449" spans="1:5">
      <c r="A449" s="184"/>
      <c r="B449" s="256"/>
      <c r="C449" s="256"/>
      <c r="D449" s="256"/>
      <c r="E449" s="184"/>
    </row>
    <row r="450" spans="1:5">
      <c r="A450" s="184"/>
      <c r="B450" s="256"/>
      <c r="C450" s="256"/>
      <c r="D450" s="256"/>
      <c r="E450" s="184"/>
    </row>
    <row r="451" spans="1:5">
      <c r="A451" s="184"/>
      <c r="B451" s="256"/>
      <c r="C451" s="256"/>
      <c r="D451" s="256"/>
      <c r="E451" s="184"/>
    </row>
    <row r="452" spans="1:5">
      <c r="A452" s="184"/>
      <c r="B452" s="256"/>
      <c r="C452" s="256"/>
      <c r="D452" s="256"/>
      <c r="E452" s="184"/>
    </row>
    <row r="453" spans="1:5">
      <c r="A453" s="184"/>
      <c r="B453" s="256"/>
      <c r="C453" s="256"/>
      <c r="D453" s="256"/>
      <c r="E453" s="184"/>
    </row>
    <row r="454" spans="1:5">
      <c r="A454" s="184"/>
      <c r="B454" s="256"/>
      <c r="C454" s="256"/>
      <c r="D454" s="256"/>
      <c r="E454" s="184"/>
    </row>
    <row r="455" spans="1:5">
      <c r="A455" s="184"/>
      <c r="B455" s="256"/>
      <c r="C455" s="256"/>
      <c r="D455" s="256"/>
      <c r="E455" s="184"/>
    </row>
    <row r="456" spans="1:5">
      <c r="A456" s="184"/>
      <c r="B456" s="256"/>
      <c r="C456" s="256"/>
      <c r="D456" s="256"/>
      <c r="E456" s="184"/>
    </row>
    <row r="457" spans="1:5">
      <c r="A457" s="184"/>
      <c r="B457" s="256"/>
      <c r="C457" s="256"/>
      <c r="D457" s="256"/>
      <c r="E457" s="184"/>
    </row>
    <row r="458" spans="1:5">
      <c r="A458" s="184"/>
      <c r="B458" s="256"/>
      <c r="C458" s="256"/>
      <c r="D458" s="256"/>
      <c r="E458" s="184"/>
    </row>
    <row r="459" spans="1:5">
      <c r="A459" s="184"/>
      <c r="B459" s="256"/>
      <c r="C459" s="256"/>
      <c r="D459" s="256"/>
      <c r="E459" s="184"/>
    </row>
    <row r="460" spans="1:5">
      <c r="A460" s="184"/>
      <c r="B460" s="256"/>
      <c r="C460" s="256"/>
      <c r="D460" s="256"/>
      <c r="E460" s="184"/>
    </row>
    <row r="461" spans="1:5">
      <c r="A461" s="184"/>
      <c r="B461" s="256"/>
      <c r="C461" s="256"/>
      <c r="D461" s="256"/>
      <c r="E461" s="184"/>
    </row>
    <row r="462" spans="1:5">
      <c r="A462" s="184"/>
      <c r="B462" s="256"/>
      <c r="C462" s="256"/>
      <c r="D462" s="256"/>
      <c r="E462" s="184"/>
    </row>
    <row r="463" spans="1:5">
      <c r="A463" s="184"/>
      <c r="B463" s="256"/>
      <c r="C463" s="256"/>
      <c r="D463" s="256"/>
      <c r="E463" s="184"/>
    </row>
    <row r="464" spans="1:5">
      <c r="A464" s="184"/>
      <c r="B464" s="256"/>
      <c r="C464" s="256"/>
      <c r="D464" s="256"/>
      <c r="E464" s="184"/>
    </row>
    <row r="465" spans="1:5">
      <c r="A465" s="184"/>
      <c r="B465" s="256"/>
      <c r="C465" s="256"/>
      <c r="D465" s="256"/>
      <c r="E465" s="184"/>
    </row>
    <row r="466" spans="1:5">
      <c r="A466" s="184"/>
      <c r="B466" s="256"/>
      <c r="C466" s="256"/>
      <c r="D466" s="256"/>
      <c r="E466" s="184"/>
    </row>
    <row r="467" spans="1:5">
      <c r="A467" s="184"/>
      <c r="B467" s="256"/>
      <c r="C467" s="256"/>
      <c r="D467" s="256"/>
      <c r="E467" s="184"/>
    </row>
    <row r="468" spans="1:5">
      <c r="A468" s="184"/>
      <c r="B468" s="256"/>
      <c r="C468" s="256"/>
      <c r="D468" s="256"/>
      <c r="E468" s="184"/>
    </row>
    <row r="469" spans="1:5">
      <c r="A469" s="184"/>
      <c r="B469" s="256"/>
      <c r="C469" s="256"/>
      <c r="D469" s="256"/>
      <c r="E469" s="184"/>
    </row>
    <row r="470" spans="1:5">
      <c r="A470" s="184"/>
      <c r="B470" s="256"/>
      <c r="C470" s="256"/>
      <c r="D470" s="256"/>
      <c r="E470" s="184"/>
    </row>
    <row r="471" spans="1:5">
      <c r="A471" s="184"/>
      <c r="B471" s="256"/>
      <c r="C471" s="256"/>
      <c r="D471" s="256"/>
      <c r="E471" s="184"/>
    </row>
    <row r="472" spans="1:5">
      <c r="A472" s="184"/>
      <c r="B472" s="256"/>
      <c r="C472" s="256"/>
      <c r="D472" s="256"/>
      <c r="E472" s="184"/>
    </row>
    <row r="473" spans="1:5">
      <c r="A473" s="184"/>
      <c r="B473" s="256"/>
      <c r="C473" s="256"/>
      <c r="D473" s="256"/>
      <c r="E473" s="184"/>
    </row>
    <row r="474" spans="1:5">
      <c r="A474" s="184"/>
      <c r="B474" s="256"/>
      <c r="C474" s="256"/>
      <c r="D474" s="256"/>
      <c r="E474" s="184"/>
    </row>
    <row r="475" spans="1:5">
      <c r="A475" s="184"/>
      <c r="B475" s="256"/>
      <c r="C475" s="256"/>
      <c r="D475" s="256"/>
      <c r="E475" s="184"/>
    </row>
    <row r="476" spans="1:5">
      <c r="A476" s="184"/>
      <c r="B476" s="256"/>
      <c r="C476" s="256"/>
      <c r="D476" s="256"/>
      <c r="E476" s="184"/>
    </row>
    <row r="477" spans="1:5">
      <c r="A477" s="184"/>
      <c r="B477" s="256"/>
      <c r="C477" s="256"/>
      <c r="D477" s="256"/>
      <c r="E477" s="184"/>
    </row>
    <row r="478" spans="1:5">
      <c r="A478" s="184"/>
      <c r="B478" s="256"/>
      <c r="C478" s="256"/>
      <c r="D478" s="256"/>
      <c r="E478" s="184"/>
    </row>
    <row r="479" spans="1:5">
      <c r="A479" s="184"/>
      <c r="B479" s="256"/>
      <c r="C479" s="256"/>
      <c r="D479" s="256"/>
      <c r="E479" s="184"/>
    </row>
    <row r="480" spans="1:5">
      <c r="A480" s="184"/>
      <c r="B480" s="256"/>
      <c r="C480" s="256"/>
      <c r="D480" s="256"/>
      <c r="E480" s="184"/>
    </row>
    <row r="481" spans="1:5">
      <c r="A481" s="184"/>
      <c r="B481" s="256"/>
      <c r="C481" s="256"/>
      <c r="D481" s="256"/>
      <c r="E481" s="184"/>
    </row>
    <row r="482" spans="1:5">
      <c r="A482" s="184"/>
      <c r="B482" s="256"/>
      <c r="C482" s="256"/>
      <c r="D482" s="256"/>
      <c r="E482" s="184"/>
    </row>
    <row r="483" spans="1:5">
      <c r="A483" s="184"/>
      <c r="B483" s="256"/>
      <c r="C483" s="256"/>
      <c r="D483" s="256"/>
      <c r="E483" s="184"/>
    </row>
    <row r="484" spans="1:5">
      <c r="A484" s="184"/>
      <c r="B484" s="256"/>
      <c r="C484" s="256"/>
      <c r="D484" s="256"/>
      <c r="E484" s="184"/>
    </row>
    <row r="485" spans="1:5">
      <c r="A485" s="184"/>
      <c r="B485" s="256"/>
      <c r="C485" s="256"/>
      <c r="D485" s="256"/>
      <c r="E485" s="184"/>
    </row>
    <row r="486" spans="1:5">
      <c r="A486" s="184"/>
      <c r="B486" s="256"/>
      <c r="C486" s="256"/>
      <c r="D486" s="256"/>
      <c r="E486" s="184"/>
    </row>
    <row r="487" spans="1:5">
      <c r="A487" s="184"/>
      <c r="B487" s="256"/>
      <c r="C487" s="256"/>
      <c r="D487" s="256"/>
      <c r="E487" s="184"/>
    </row>
    <row r="488" spans="1:5">
      <c r="A488" s="184"/>
      <c r="B488" s="256"/>
      <c r="C488" s="256"/>
      <c r="D488" s="256"/>
      <c r="E488" s="184"/>
    </row>
    <row r="489" spans="1:5">
      <c r="A489" s="184"/>
      <c r="B489" s="256"/>
      <c r="C489" s="256"/>
      <c r="D489" s="256"/>
      <c r="E489" s="184"/>
    </row>
    <row r="490" spans="1:5">
      <c r="A490" s="184"/>
      <c r="B490" s="256"/>
      <c r="C490" s="256"/>
      <c r="D490" s="256"/>
      <c r="E490" s="184"/>
    </row>
    <row r="491" spans="1:5">
      <c r="A491" s="184"/>
      <c r="B491" s="256"/>
      <c r="C491" s="256"/>
      <c r="D491" s="256"/>
      <c r="E491" s="184"/>
    </row>
    <row r="492" spans="1:5">
      <c r="A492" s="184"/>
      <c r="B492" s="256"/>
      <c r="C492" s="256"/>
      <c r="D492" s="256"/>
      <c r="E492" s="184"/>
    </row>
    <row r="493" spans="1:5">
      <c r="A493" s="184"/>
      <c r="B493" s="256"/>
      <c r="C493" s="256"/>
      <c r="D493" s="256"/>
      <c r="E493" s="184"/>
    </row>
    <row r="494" spans="1:5">
      <c r="A494" s="184"/>
      <c r="B494" s="256"/>
      <c r="C494" s="256"/>
      <c r="D494" s="256"/>
      <c r="E494" s="184"/>
    </row>
    <row r="495" spans="1:5">
      <c r="A495" s="184"/>
      <c r="B495" s="256"/>
      <c r="C495" s="256"/>
      <c r="D495" s="256"/>
      <c r="E495" s="184"/>
    </row>
    <row r="496" spans="1:5">
      <c r="A496" s="184"/>
      <c r="B496" s="256"/>
      <c r="C496" s="256"/>
      <c r="D496" s="256"/>
      <c r="E496" s="184"/>
    </row>
    <row r="497" spans="1:5">
      <c r="A497" s="184"/>
      <c r="B497" s="256"/>
      <c r="C497" s="256"/>
      <c r="D497" s="256"/>
      <c r="E497" s="184"/>
    </row>
    <row r="498" spans="1:5">
      <c r="A498" s="184"/>
      <c r="B498" s="256"/>
      <c r="C498" s="256"/>
      <c r="D498" s="256"/>
      <c r="E498" s="184"/>
    </row>
    <row r="499" spans="1:5">
      <c r="A499" s="184"/>
      <c r="B499" s="256"/>
      <c r="C499" s="256"/>
      <c r="D499" s="256"/>
      <c r="E499" s="184"/>
    </row>
    <row r="500" spans="1:5">
      <c r="A500" s="184"/>
      <c r="B500" s="256"/>
      <c r="C500" s="256"/>
      <c r="D500" s="256"/>
      <c r="E500" s="184"/>
    </row>
    <row r="501" spans="1:5">
      <c r="A501" s="184"/>
      <c r="B501" s="256"/>
      <c r="C501" s="256"/>
      <c r="D501" s="256"/>
      <c r="E501" s="184"/>
    </row>
    <row r="502" spans="1:5">
      <c r="A502" s="184"/>
      <c r="B502" s="256"/>
      <c r="C502" s="256"/>
      <c r="D502" s="256"/>
      <c r="E502" s="184"/>
    </row>
    <row r="503" spans="1:5">
      <c r="A503" s="184"/>
      <c r="B503" s="256"/>
      <c r="C503" s="256"/>
      <c r="D503" s="256"/>
      <c r="E503" s="184"/>
    </row>
    <row r="504" spans="1:5">
      <c r="A504" s="184"/>
      <c r="B504" s="256"/>
      <c r="C504" s="256"/>
      <c r="D504" s="256"/>
      <c r="E504" s="184"/>
    </row>
    <row r="505" spans="1:5">
      <c r="A505" s="184"/>
      <c r="B505" s="256"/>
      <c r="C505" s="256"/>
      <c r="D505" s="256"/>
      <c r="E505" s="184"/>
    </row>
    <row r="506" spans="1:5">
      <c r="A506" s="184"/>
      <c r="B506" s="256"/>
      <c r="C506" s="256"/>
      <c r="D506" s="256"/>
      <c r="E506" s="184"/>
    </row>
    <row r="507" spans="1:5">
      <c r="A507" s="184"/>
      <c r="B507" s="256"/>
      <c r="C507" s="256"/>
      <c r="D507" s="256"/>
      <c r="E507" s="184"/>
    </row>
    <row r="508" spans="1:5">
      <c r="A508" s="184"/>
      <c r="B508" s="256"/>
      <c r="C508" s="256"/>
      <c r="D508" s="256"/>
      <c r="E508" s="184"/>
    </row>
    <row r="509" spans="1:5">
      <c r="A509" s="184"/>
      <c r="B509" s="256"/>
      <c r="C509" s="256"/>
      <c r="D509" s="256"/>
      <c r="E509" s="184"/>
    </row>
    <row r="510" spans="1:5">
      <c r="A510" s="184"/>
      <c r="B510" s="256"/>
      <c r="C510" s="256"/>
      <c r="D510" s="256"/>
      <c r="E510" s="184"/>
    </row>
    <row r="511" spans="1:5">
      <c r="A511" s="184"/>
      <c r="B511" s="256"/>
      <c r="C511" s="256"/>
      <c r="D511" s="256"/>
      <c r="E511" s="184"/>
    </row>
    <row r="512" spans="1:5">
      <c r="A512" s="184"/>
      <c r="B512" s="256"/>
      <c r="C512" s="256"/>
      <c r="D512" s="256"/>
      <c r="E512" s="184"/>
    </row>
    <row r="513" spans="1:5">
      <c r="A513" s="184"/>
      <c r="B513" s="256"/>
      <c r="C513" s="256"/>
      <c r="D513" s="256"/>
      <c r="E513" s="184"/>
    </row>
    <row r="514" spans="1:5">
      <c r="A514" s="184"/>
      <c r="B514" s="256"/>
      <c r="C514" s="256"/>
      <c r="D514" s="256"/>
      <c r="E514" s="184"/>
    </row>
    <row r="515" spans="1:5">
      <c r="A515" s="184"/>
      <c r="B515" s="256"/>
      <c r="C515" s="256"/>
      <c r="D515" s="256"/>
      <c r="E515" s="184"/>
    </row>
    <row r="516" spans="1:5">
      <c r="A516" s="184"/>
      <c r="B516" s="256"/>
      <c r="C516" s="256"/>
      <c r="D516" s="256"/>
      <c r="E516" s="184"/>
    </row>
    <row r="517" spans="1:5">
      <c r="A517" s="184"/>
      <c r="B517" s="256"/>
      <c r="C517" s="256"/>
      <c r="D517" s="256"/>
      <c r="E517" s="184"/>
    </row>
    <row r="518" spans="1:5">
      <c r="A518" s="184"/>
      <c r="B518" s="256"/>
      <c r="C518" s="256"/>
      <c r="D518" s="256"/>
      <c r="E518" s="184"/>
    </row>
    <row r="519" spans="1:5">
      <c r="A519" s="184"/>
      <c r="B519" s="256"/>
      <c r="C519" s="256"/>
      <c r="D519" s="256"/>
      <c r="E519" s="184"/>
    </row>
    <row r="520" spans="1:5">
      <c r="A520" s="184"/>
      <c r="B520" s="256"/>
      <c r="C520" s="256"/>
      <c r="D520" s="256"/>
      <c r="E520" s="184"/>
    </row>
    <row r="521" spans="1:5">
      <c r="A521" s="184"/>
      <c r="B521" s="256"/>
      <c r="C521" s="256"/>
      <c r="D521" s="256"/>
      <c r="E521" s="184"/>
    </row>
    <row r="522" spans="1:5">
      <c r="A522" s="184"/>
      <c r="B522" s="256"/>
      <c r="C522" s="256"/>
      <c r="D522" s="256"/>
      <c r="E522" s="184"/>
    </row>
    <row r="523" spans="1:5">
      <c r="A523" s="184"/>
      <c r="B523" s="256"/>
      <c r="C523" s="256"/>
      <c r="D523" s="256"/>
      <c r="E523" s="184"/>
    </row>
    <row r="524" spans="1:5">
      <c r="A524" s="184"/>
      <c r="B524" s="256"/>
      <c r="C524" s="256"/>
      <c r="D524" s="256"/>
      <c r="E524" s="184"/>
    </row>
    <row r="525" spans="1:5">
      <c r="A525" s="184"/>
      <c r="B525" s="256"/>
      <c r="C525" s="256"/>
      <c r="D525" s="256"/>
      <c r="E525" s="184"/>
    </row>
    <row r="526" spans="1:5">
      <c r="A526" s="184"/>
      <c r="B526" s="256"/>
      <c r="C526" s="256"/>
      <c r="D526" s="256"/>
      <c r="E526" s="184"/>
    </row>
    <row r="527" spans="1:5">
      <c r="A527" s="184"/>
      <c r="B527" s="256"/>
      <c r="C527" s="256"/>
      <c r="D527" s="256"/>
      <c r="E527" s="184"/>
    </row>
    <row r="528" spans="1:5">
      <c r="A528" s="184"/>
      <c r="B528" s="256"/>
      <c r="C528" s="256"/>
      <c r="D528" s="256"/>
      <c r="E528" s="184"/>
    </row>
    <row r="529" spans="1:5">
      <c r="A529" s="184"/>
      <c r="B529" s="256"/>
      <c r="C529" s="256"/>
      <c r="D529" s="256"/>
      <c r="E529" s="184"/>
    </row>
    <row r="530" spans="1:5">
      <c r="A530" s="184"/>
      <c r="B530" s="256"/>
      <c r="C530" s="256"/>
      <c r="D530" s="256"/>
      <c r="E530" s="184"/>
    </row>
    <row r="531" spans="1:5">
      <c r="A531" s="184"/>
      <c r="B531" s="256"/>
      <c r="C531" s="256"/>
      <c r="D531" s="256"/>
      <c r="E531" s="184"/>
    </row>
    <row r="532" spans="1:5">
      <c r="A532" s="184"/>
      <c r="B532" s="256"/>
      <c r="C532" s="256"/>
      <c r="D532" s="256"/>
      <c r="E532" s="184"/>
    </row>
    <row r="533" spans="1:5">
      <c r="A533" s="184"/>
      <c r="B533" s="256"/>
      <c r="C533" s="256"/>
      <c r="D533" s="256"/>
      <c r="E533" s="184"/>
    </row>
    <row r="534" spans="1:5">
      <c r="A534" s="184"/>
      <c r="B534" s="256"/>
      <c r="C534" s="256"/>
      <c r="D534" s="256"/>
      <c r="E534" s="184"/>
    </row>
    <row r="535" spans="1:5">
      <c r="A535" s="184"/>
      <c r="B535" s="256"/>
      <c r="C535" s="256"/>
      <c r="D535" s="256"/>
      <c r="E535" s="184"/>
    </row>
    <row r="536" spans="1:5">
      <c r="A536" s="184"/>
      <c r="B536" s="256"/>
      <c r="C536" s="256"/>
      <c r="D536" s="256"/>
      <c r="E536" s="184"/>
    </row>
    <row r="537" spans="1:5">
      <c r="A537" s="184"/>
      <c r="B537" s="256"/>
      <c r="C537" s="256"/>
      <c r="D537" s="256"/>
      <c r="E537" s="184"/>
    </row>
    <row r="538" spans="1:5">
      <c r="A538" s="184"/>
      <c r="B538" s="256"/>
      <c r="C538" s="256"/>
      <c r="D538" s="256"/>
      <c r="E538" s="184"/>
    </row>
    <row r="539" spans="1:5">
      <c r="A539" s="184"/>
      <c r="B539" s="256"/>
      <c r="C539" s="256"/>
      <c r="D539" s="256"/>
      <c r="E539" s="184"/>
    </row>
    <row r="540" spans="1:5">
      <c r="A540" s="184"/>
      <c r="B540" s="256"/>
      <c r="C540" s="256"/>
      <c r="D540" s="256"/>
      <c r="E540" s="184"/>
    </row>
    <row r="541" spans="1:5">
      <c r="A541" s="184"/>
      <c r="B541" s="256"/>
      <c r="C541" s="256"/>
      <c r="D541" s="256"/>
      <c r="E541" s="184"/>
    </row>
    <row r="542" spans="1:5">
      <c r="A542" s="184"/>
      <c r="B542" s="256"/>
      <c r="C542" s="256"/>
      <c r="D542" s="256"/>
      <c r="E542" s="184"/>
    </row>
    <row r="543" spans="1:5">
      <c r="A543" s="184"/>
      <c r="B543" s="256"/>
      <c r="C543" s="256"/>
      <c r="D543" s="256"/>
      <c r="E543" s="184"/>
    </row>
    <row r="544" spans="1:5">
      <c r="A544" s="184"/>
      <c r="B544" s="256"/>
      <c r="C544" s="256"/>
      <c r="D544" s="256"/>
      <c r="E544" s="184"/>
    </row>
    <row r="545" spans="1:5">
      <c r="A545" s="184"/>
      <c r="B545" s="256"/>
      <c r="C545" s="256"/>
      <c r="D545" s="256"/>
      <c r="E545" s="184"/>
    </row>
    <row r="546" spans="1:5">
      <c r="A546" s="184"/>
      <c r="B546" s="256"/>
      <c r="C546" s="256"/>
      <c r="D546" s="256"/>
      <c r="E546" s="184"/>
    </row>
    <row r="547" spans="1:5">
      <c r="A547" s="184"/>
      <c r="B547" s="256"/>
      <c r="C547" s="256"/>
      <c r="D547" s="256"/>
      <c r="E547" s="184"/>
    </row>
    <row r="548" spans="1:5">
      <c r="A548" s="184"/>
      <c r="B548" s="256"/>
      <c r="C548" s="256"/>
      <c r="D548" s="256"/>
      <c r="E548" s="184"/>
    </row>
    <row r="549" spans="1:5">
      <c r="A549" s="184"/>
      <c r="B549" s="256"/>
      <c r="C549" s="256"/>
      <c r="D549" s="256"/>
      <c r="E549" s="184"/>
    </row>
    <row r="550" spans="1:5">
      <c r="A550" s="184"/>
      <c r="B550" s="256"/>
      <c r="C550" s="256"/>
      <c r="D550" s="256"/>
      <c r="E550" s="184"/>
    </row>
    <row r="551" spans="1:5">
      <c r="A551" s="184"/>
      <c r="B551" s="256"/>
      <c r="C551" s="256"/>
      <c r="D551" s="256"/>
      <c r="E551" s="184"/>
    </row>
    <row r="552" spans="1:5">
      <c r="A552" s="184"/>
      <c r="B552" s="256"/>
      <c r="C552" s="256"/>
      <c r="D552" s="256"/>
      <c r="E552" s="184"/>
    </row>
    <row r="553" spans="1:5">
      <c r="A553" s="184"/>
      <c r="B553" s="256"/>
      <c r="C553" s="256"/>
      <c r="D553" s="256"/>
      <c r="E553" s="184"/>
    </row>
    <row r="554" spans="1:5">
      <c r="A554" s="184"/>
      <c r="B554" s="256"/>
      <c r="C554" s="256"/>
      <c r="D554" s="256"/>
      <c r="E554" s="184"/>
    </row>
    <row r="555" spans="1:5">
      <c r="A555" s="184"/>
      <c r="B555" s="256"/>
      <c r="C555" s="256"/>
      <c r="D555" s="256"/>
      <c r="E555" s="184"/>
    </row>
    <row r="556" spans="1:5">
      <c r="A556" s="184"/>
      <c r="B556" s="256"/>
      <c r="C556" s="256"/>
      <c r="D556" s="256"/>
      <c r="E556" s="184"/>
    </row>
    <row r="557" spans="1:5">
      <c r="A557" s="184"/>
      <c r="B557" s="256"/>
      <c r="C557" s="256"/>
      <c r="D557" s="256"/>
      <c r="E557" s="184"/>
    </row>
    <row r="558" spans="1:5">
      <c r="A558" s="184"/>
      <c r="B558" s="256"/>
      <c r="C558" s="256"/>
      <c r="D558" s="256"/>
      <c r="E558" s="184"/>
    </row>
    <row r="559" spans="1:5">
      <c r="A559" s="184"/>
      <c r="B559" s="256"/>
      <c r="C559" s="256"/>
      <c r="D559" s="256"/>
      <c r="E559" s="184"/>
    </row>
    <row r="560" spans="1:5">
      <c r="A560" s="184"/>
      <c r="B560" s="256"/>
      <c r="C560" s="256"/>
      <c r="D560" s="256"/>
      <c r="E560" s="184"/>
    </row>
    <row r="561" spans="1:5">
      <c r="A561" s="184"/>
      <c r="B561" s="256"/>
      <c r="C561" s="256"/>
      <c r="D561" s="256"/>
      <c r="E561" s="184"/>
    </row>
    <row r="562" spans="1:5">
      <c r="A562" s="184"/>
      <c r="B562" s="256"/>
      <c r="C562" s="256"/>
      <c r="D562" s="256"/>
      <c r="E562" s="184"/>
    </row>
    <row r="563" spans="1:5">
      <c r="A563" s="184"/>
      <c r="B563" s="256"/>
      <c r="C563" s="256"/>
      <c r="D563" s="256"/>
      <c r="E563" s="184"/>
    </row>
    <row r="564" spans="1:5">
      <c r="A564" s="184"/>
      <c r="B564" s="256"/>
      <c r="C564" s="256"/>
      <c r="D564" s="256"/>
      <c r="E564" s="184"/>
    </row>
    <row r="565" spans="1:5">
      <c r="A565" s="184"/>
      <c r="B565" s="256"/>
      <c r="C565" s="256"/>
      <c r="D565" s="256"/>
      <c r="E565" s="184"/>
    </row>
    <row r="566" spans="1:5">
      <c r="A566" s="184"/>
      <c r="B566" s="256"/>
      <c r="C566" s="256"/>
      <c r="D566" s="256"/>
      <c r="E566" s="184"/>
    </row>
    <row r="567" spans="1:5">
      <c r="A567" s="184"/>
      <c r="B567" s="256"/>
      <c r="C567" s="256"/>
      <c r="D567" s="256"/>
      <c r="E567" s="184"/>
    </row>
    <row r="568" spans="1:5">
      <c r="A568" s="184"/>
      <c r="B568" s="256"/>
      <c r="C568" s="256"/>
      <c r="D568" s="256"/>
      <c r="E568" s="184"/>
    </row>
    <row r="569" spans="1:5">
      <c r="A569" s="184"/>
      <c r="B569" s="256"/>
      <c r="C569" s="256"/>
      <c r="D569" s="256"/>
      <c r="E569" s="184"/>
    </row>
    <row r="570" spans="1:5">
      <c r="A570" s="184"/>
      <c r="B570" s="256"/>
      <c r="C570" s="256"/>
      <c r="D570" s="256"/>
      <c r="E570" s="184"/>
    </row>
    <row r="571" spans="1:5">
      <c r="A571" s="184"/>
      <c r="B571" s="256"/>
      <c r="C571" s="256"/>
      <c r="D571" s="256"/>
      <c r="E571" s="184"/>
    </row>
    <row r="572" spans="1:5">
      <c r="A572" s="184"/>
      <c r="B572" s="256"/>
      <c r="C572" s="256"/>
      <c r="D572" s="256"/>
      <c r="E572" s="184"/>
    </row>
  </sheetData>
  <autoFilter ref="A5:E10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K15"/>
  <sheetViews>
    <sheetView workbookViewId="0">
      <selection activeCell="K7" sqref="K7"/>
    </sheetView>
  </sheetViews>
  <sheetFormatPr baseColWidth="10" defaultRowHeight="15"/>
  <cols>
    <col min="1" max="1" width="8.28515625" style="71" customWidth="1"/>
    <col min="2" max="2" width="23.85546875" style="84" customWidth="1"/>
    <col min="3" max="3" width="15" style="71" customWidth="1"/>
    <col min="4" max="4" width="10.140625" style="71" customWidth="1"/>
    <col min="5" max="5" width="11.42578125" style="71"/>
    <col min="6" max="6" width="8.140625" style="71" bestFit="1" customWidth="1"/>
    <col min="7" max="7" width="6.42578125" style="71" customWidth="1"/>
    <col min="8" max="8" width="2.140625" style="71" customWidth="1"/>
    <col min="9" max="9" width="25.140625" style="71" customWidth="1"/>
    <col min="10" max="16384" width="11.42578125" style="71"/>
  </cols>
  <sheetData>
    <row r="1" spans="1:11">
      <c r="I1" s="71" t="s">
        <v>159</v>
      </c>
      <c r="J1" s="109" t="s">
        <v>161</v>
      </c>
      <c r="K1" s="137" t="s">
        <v>418</v>
      </c>
    </row>
    <row r="2" spans="1:11" ht="20.25" thickBot="1">
      <c r="A2" s="348" t="s">
        <v>156</v>
      </c>
      <c r="B2" s="348"/>
      <c r="C2" s="348"/>
      <c r="D2" s="87"/>
      <c r="E2" s="88" t="s">
        <v>167</v>
      </c>
      <c r="F2" s="75">
        <v>2014</v>
      </c>
      <c r="G2" s="76"/>
      <c r="H2" s="89"/>
      <c r="I2" s="223" t="s">
        <v>565</v>
      </c>
      <c r="J2" s="110" t="s">
        <v>160</v>
      </c>
      <c r="K2" s="137">
        <v>41701</v>
      </c>
    </row>
    <row r="3" spans="1:11" ht="15.75" thickTop="1">
      <c r="J3" s="110" t="s">
        <v>162</v>
      </c>
      <c r="K3" s="137" t="s">
        <v>648</v>
      </c>
    </row>
    <row r="4" spans="1:11" s="79" customFormat="1">
      <c r="A4" s="77"/>
      <c r="B4" s="91" t="s">
        <v>149</v>
      </c>
      <c r="C4" s="78" t="s">
        <v>1227</v>
      </c>
      <c r="E4" s="347"/>
      <c r="F4" s="347"/>
      <c r="G4" s="78"/>
      <c r="H4" s="81"/>
      <c r="I4" s="80"/>
      <c r="J4" s="77" t="s">
        <v>163</v>
      </c>
      <c r="K4" s="137" t="s">
        <v>666</v>
      </c>
    </row>
    <row r="5" spans="1:11" s="79" customFormat="1" ht="15.75" thickBot="1">
      <c r="A5" s="77"/>
      <c r="B5" s="92" t="s">
        <v>150</v>
      </c>
      <c r="C5" s="82" t="s">
        <v>1227</v>
      </c>
      <c r="G5" s="78"/>
      <c r="H5" s="81"/>
      <c r="I5" s="80"/>
      <c r="J5" s="77" t="s">
        <v>164</v>
      </c>
      <c r="K5" s="243">
        <v>41792</v>
      </c>
    </row>
    <row r="6" spans="1:11" s="79" customFormat="1" ht="18.75">
      <c r="A6" s="77"/>
      <c r="B6" s="96" t="s">
        <v>151</v>
      </c>
      <c r="C6" s="97">
        <f>C4-C5</f>
        <v>0</v>
      </c>
      <c r="E6" s="347"/>
      <c r="F6" s="347"/>
      <c r="G6" s="83"/>
      <c r="H6" s="81"/>
      <c r="I6" s="80"/>
      <c r="J6" s="77" t="s">
        <v>165</v>
      </c>
      <c r="K6" s="139" t="s">
        <v>795</v>
      </c>
    </row>
    <row r="7" spans="1:11" s="79" customFormat="1" ht="15.75">
      <c r="A7" s="77"/>
      <c r="B7" s="85"/>
      <c r="C7" s="83"/>
      <c r="G7" s="83"/>
      <c r="H7" s="81"/>
      <c r="I7" s="80"/>
      <c r="J7" s="77" t="s">
        <v>166</v>
      </c>
      <c r="K7" s="139" t="s">
        <v>1225</v>
      </c>
    </row>
    <row r="8" spans="1:11" s="79" customFormat="1" ht="15.75" thickBot="1">
      <c r="B8" s="90" t="s">
        <v>157</v>
      </c>
      <c r="C8" s="93" t="s">
        <v>1226</v>
      </c>
      <c r="D8" s="94"/>
      <c r="E8" s="95"/>
      <c r="F8" s="80"/>
      <c r="G8" s="80"/>
      <c r="H8" s="81"/>
      <c r="I8" s="80"/>
      <c r="J8" s="77" t="s">
        <v>167</v>
      </c>
      <c r="K8" s="139"/>
    </row>
    <row r="9" spans="1:11">
      <c r="J9" s="110" t="s">
        <v>168</v>
      </c>
      <c r="K9" s="138"/>
    </row>
    <row r="10" spans="1:11">
      <c r="J10" s="110" t="s">
        <v>169</v>
      </c>
      <c r="K10" s="138"/>
    </row>
    <row r="11" spans="1:11">
      <c r="J11" s="110" t="s">
        <v>158</v>
      </c>
      <c r="K11" s="138"/>
    </row>
    <row r="12" spans="1:11">
      <c r="J12" s="71" t="s">
        <v>170</v>
      </c>
      <c r="K12" s="138"/>
    </row>
    <row r="15" spans="1:11">
      <c r="B15" s="86"/>
    </row>
  </sheetData>
  <mergeCells count="3">
    <mergeCell ref="E4:F4"/>
    <mergeCell ref="A2:C2"/>
    <mergeCell ref="E6:F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 filterMode="1"/>
  <dimension ref="A3:L123"/>
  <sheetViews>
    <sheetView workbookViewId="0">
      <pane ySplit="9" topLeftCell="A88" activePane="bottomLeft" state="frozen"/>
      <selection pane="bottomLeft" activeCell="F93" sqref="F93"/>
    </sheetView>
  </sheetViews>
  <sheetFormatPr baseColWidth="10" defaultRowHeight="15"/>
  <cols>
    <col min="1" max="1" width="6.85546875" style="262" customWidth="1"/>
    <col min="2" max="2" width="10.28515625" style="261" customWidth="1"/>
    <col min="3" max="3" width="2" customWidth="1"/>
    <col min="4" max="4" width="32.42578125" customWidth="1"/>
    <col min="5" max="5" width="23.7109375" customWidth="1"/>
    <col min="6" max="6" width="35.5703125" style="47" bestFit="1" customWidth="1"/>
    <col min="7" max="7" width="11.42578125" style="265"/>
    <col min="8" max="8" width="16.7109375" style="48" bestFit="1" customWidth="1"/>
    <col min="9" max="9" width="10.42578125" customWidth="1"/>
    <col min="10" max="10" width="47.7109375" customWidth="1"/>
  </cols>
  <sheetData>
    <row r="3" spans="1:12">
      <c r="A3" s="262" t="s">
        <v>154</v>
      </c>
    </row>
    <row r="4" spans="1:12">
      <c r="L4" s="45"/>
    </row>
    <row r="5" spans="1:12">
      <c r="L5" s="45"/>
    </row>
    <row r="9" spans="1:12">
      <c r="A9" s="264" t="s">
        <v>147</v>
      </c>
      <c r="B9" s="255" t="s">
        <v>77</v>
      </c>
      <c r="C9" s="47"/>
      <c r="D9" s="261" t="s">
        <v>60</v>
      </c>
      <c r="E9" s="261" t="s">
        <v>61</v>
      </c>
      <c r="F9" s="261" t="s">
        <v>90</v>
      </c>
      <c r="G9" s="261" t="s">
        <v>94</v>
      </c>
      <c r="H9" s="261" t="s">
        <v>155</v>
      </c>
      <c r="I9" s="261" t="s">
        <v>124</v>
      </c>
      <c r="J9" s="261" t="s">
        <v>193</v>
      </c>
    </row>
    <row r="10" spans="1:12" hidden="1">
      <c r="A10" s="262">
        <v>201</v>
      </c>
      <c r="B10" s="263">
        <v>41649</v>
      </c>
      <c r="D10" t="s">
        <v>228</v>
      </c>
      <c r="F10" s="47" t="s">
        <v>347</v>
      </c>
      <c r="G10" s="265">
        <v>96</v>
      </c>
      <c r="H10" s="48">
        <v>0.54999999999999993</v>
      </c>
      <c r="I10" t="s">
        <v>348</v>
      </c>
      <c r="J10" t="s">
        <v>349</v>
      </c>
    </row>
    <row r="11" spans="1:12" hidden="1">
      <c r="A11" s="262">
        <v>302</v>
      </c>
      <c r="B11" s="263">
        <v>41649</v>
      </c>
      <c r="D11" t="s">
        <v>291</v>
      </c>
      <c r="E11" t="s">
        <v>292</v>
      </c>
      <c r="F11" s="47" t="s">
        <v>347</v>
      </c>
      <c r="G11" s="265">
        <v>24</v>
      </c>
      <c r="H11" s="48">
        <v>0.49</v>
      </c>
      <c r="I11" t="s">
        <v>359</v>
      </c>
    </row>
    <row r="12" spans="1:12" hidden="1">
      <c r="A12" s="262">
        <v>212</v>
      </c>
      <c r="B12" s="263">
        <v>41649</v>
      </c>
      <c r="D12" t="s">
        <v>245</v>
      </c>
      <c r="E12" t="s">
        <v>240</v>
      </c>
      <c r="F12" s="47" t="s">
        <v>347</v>
      </c>
      <c r="G12" s="265">
        <v>48</v>
      </c>
      <c r="H12" s="48">
        <v>0.59</v>
      </c>
      <c r="I12" t="s">
        <v>363</v>
      </c>
    </row>
    <row r="13" spans="1:12" hidden="1">
      <c r="A13" s="262">
        <v>211</v>
      </c>
      <c r="B13" s="263">
        <v>41649</v>
      </c>
      <c r="D13" t="s">
        <v>234</v>
      </c>
      <c r="E13" t="s">
        <v>235</v>
      </c>
      <c r="F13" s="47" t="s">
        <v>347</v>
      </c>
      <c r="G13" s="265">
        <v>96</v>
      </c>
      <c r="H13" s="48">
        <v>0.49</v>
      </c>
      <c r="I13" t="s">
        <v>367</v>
      </c>
    </row>
    <row r="14" spans="1:12" hidden="1">
      <c r="A14" s="262">
        <v>401</v>
      </c>
      <c r="B14" s="263">
        <v>41649</v>
      </c>
      <c r="D14" t="s">
        <v>296</v>
      </c>
      <c r="E14" t="s">
        <v>297</v>
      </c>
      <c r="F14" s="47" t="s">
        <v>347</v>
      </c>
      <c r="G14" s="265">
        <v>24</v>
      </c>
      <c r="H14" s="48">
        <v>0.59</v>
      </c>
      <c r="I14" t="s">
        <v>371</v>
      </c>
    </row>
    <row r="15" spans="1:12" hidden="1">
      <c r="A15" s="262">
        <v>51</v>
      </c>
      <c r="B15" s="263">
        <v>41649</v>
      </c>
      <c r="D15" t="s">
        <v>195</v>
      </c>
      <c r="E15" t="s">
        <v>196</v>
      </c>
      <c r="F15" s="47" t="s">
        <v>347</v>
      </c>
      <c r="G15" s="265">
        <v>96</v>
      </c>
      <c r="H15" s="48">
        <v>0.54999999999999993</v>
      </c>
      <c r="I15" t="s">
        <v>373</v>
      </c>
    </row>
    <row r="16" spans="1:12" hidden="1">
      <c r="A16" s="262">
        <v>801</v>
      </c>
      <c r="B16" s="263">
        <v>41649</v>
      </c>
      <c r="D16" t="s">
        <v>233</v>
      </c>
      <c r="E16" t="s">
        <v>55</v>
      </c>
      <c r="F16" s="47" t="s">
        <v>347</v>
      </c>
      <c r="G16" s="265">
        <v>72</v>
      </c>
      <c r="H16" s="48">
        <v>0.47000000000000003</v>
      </c>
      <c r="I16" t="s">
        <v>376</v>
      </c>
    </row>
    <row r="17" spans="1:10" hidden="1">
      <c r="A17" s="262">
        <v>101</v>
      </c>
      <c r="B17" s="263">
        <v>41653</v>
      </c>
      <c r="D17" t="s">
        <v>212</v>
      </c>
      <c r="F17" s="47" t="s">
        <v>383</v>
      </c>
      <c r="G17" s="265">
        <v>2160</v>
      </c>
      <c r="H17" s="48">
        <v>0.39851851851851849</v>
      </c>
      <c r="I17" t="s">
        <v>384</v>
      </c>
    </row>
    <row r="18" spans="1:10" hidden="1">
      <c r="A18" s="262">
        <v>101</v>
      </c>
      <c r="B18" s="263">
        <v>41642</v>
      </c>
      <c r="D18" t="s">
        <v>212</v>
      </c>
      <c r="F18" s="47" t="s">
        <v>344</v>
      </c>
      <c r="G18" s="265">
        <v>1890</v>
      </c>
      <c r="H18" s="48">
        <v>0.93</v>
      </c>
      <c r="I18" t="s">
        <v>345</v>
      </c>
    </row>
    <row r="19" spans="1:10" hidden="1">
      <c r="A19" s="262">
        <v>52</v>
      </c>
      <c r="B19" s="263">
        <v>41666</v>
      </c>
      <c r="D19" t="s">
        <v>392</v>
      </c>
      <c r="E19" t="s">
        <v>393</v>
      </c>
      <c r="F19" s="47" t="s">
        <v>347</v>
      </c>
      <c r="G19" s="265">
        <v>48</v>
      </c>
      <c r="H19" s="48">
        <v>0.49</v>
      </c>
      <c r="I19" t="s">
        <v>398</v>
      </c>
    </row>
    <row r="20" spans="1:10" hidden="1">
      <c r="A20" s="262">
        <v>801</v>
      </c>
      <c r="B20" s="263">
        <v>41669</v>
      </c>
      <c r="D20" t="s">
        <v>233</v>
      </c>
      <c r="E20" t="s">
        <v>408</v>
      </c>
      <c r="F20" s="47" t="s">
        <v>347</v>
      </c>
      <c r="G20" s="265">
        <v>24</v>
      </c>
      <c r="H20" s="48">
        <v>0.47</v>
      </c>
      <c r="I20" t="s">
        <v>409</v>
      </c>
    </row>
    <row r="21" spans="1:10" hidden="1">
      <c r="A21" s="262">
        <v>801</v>
      </c>
      <c r="B21" s="263">
        <v>41669</v>
      </c>
      <c r="D21" t="s">
        <v>233</v>
      </c>
      <c r="E21" t="s">
        <v>408</v>
      </c>
      <c r="F21" s="47" t="s">
        <v>411</v>
      </c>
      <c r="G21" s="265">
        <v>36</v>
      </c>
      <c r="H21" s="48">
        <v>0.85000000000000009</v>
      </c>
      <c r="I21" t="s">
        <v>409</v>
      </c>
    </row>
    <row r="22" spans="1:10" hidden="1">
      <c r="A22" s="262">
        <v>801</v>
      </c>
      <c r="B22" s="263">
        <v>41669</v>
      </c>
      <c r="D22" t="s">
        <v>233</v>
      </c>
      <c r="E22" t="s">
        <v>408</v>
      </c>
      <c r="F22" s="47" t="s">
        <v>410</v>
      </c>
      <c r="G22" s="265">
        <v>36</v>
      </c>
      <c r="H22" s="48">
        <v>0.85000000000000009</v>
      </c>
      <c r="I22" t="s">
        <v>409</v>
      </c>
    </row>
    <row r="23" spans="1:10" hidden="1">
      <c r="A23" s="262">
        <v>312</v>
      </c>
      <c r="B23" s="263">
        <v>41669</v>
      </c>
      <c r="D23" t="s">
        <v>275</v>
      </c>
      <c r="E23" t="s">
        <v>276</v>
      </c>
      <c r="F23" s="47" t="s">
        <v>347</v>
      </c>
      <c r="G23" s="265">
        <v>48</v>
      </c>
      <c r="H23" s="48">
        <v>0.6</v>
      </c>
      <c r="I23" t="s">
        <v>412</v>
      </c>
    </row>
    <row r="24" spans="1:10" hidden="1">
      <c r="A24" s="262">
        <v>201</v>
      </c>
      <c r="B24" s="263">
        <v>41669</v>
      </c>
      <c r="D24" t="s">
        <v>228</v>
      </c>
      <c r="F24" s="47" t="s">
        <v>347</v>
      </c>
      <c r="G24" s="265">
        <v>48</v>
      </c>
      <c r="H24" s="48">
        <v>0.54999999999999993</v>
      </c>
      <c r="I24" t="s">
        <v>413</v>
      </c>
    </row>
    <row r="25" spans="1:10" hidden="1">
      <c r="A25" s="262">
        <v>101</v>
      </c>
      <c r="B25" s="263">
        <v>41673</v>
      </c>
      <c r="D25" t="s">
        <v>212</v>
      </c>
      <c r="F25" s="47" t="s">
        <v>344</v>
      </c>
      <c r="G25" s="265">
        <v>82</v>
      </c>
      <c r="H25" s="48">
        <v>0.93</v>
      </c>
      <c r="I25" t="s">
        <v>457</v>
      </c>
      <c r="J25" t="s">
        <v>458</v>
      </c>
    </row>
    <row r="26" spans="1:10" hidden="1">
      <c r="A26" s="262">
        <v>101</v>
      </c>
      <c r="B26" s="263">
        <v>41673</v>
      </c>
      <c r="D26" t="s">
        <v>212</v>
      </c>
      <c r="F26" s="47" t="s">
        <v>383</v>
      </c>
      <c r="G26" s="265">
        <v>60</v>
      </c>
      <c r="H26" s="48">
        <v>0.38999999999999996</v>
      </c>
      <c r="I26" t="s">
        <v>457</v>
      </c>
      <c r="J26" t="s">
        <v>458</v>
      </c>
    </row>
    <row r="27" spans="1:10" hidden="1">
      <c r="A27" s="262">
        <v>101</v>
      </c>
      <c r="B27" s="263">
        <v>41673</v>
      </c>
      <c r="D27" t="s">
        <v>212</v>
      </c>
      <c r="F27" s="47" t="s">
        <v>410</v>
      </c>
      <c r="G27" s="265">
        <v>84</v>
      </c>
      <c r="H27" s="48">
        <v>0.79</v>
      </c>
      <c r="I27" t="s">
        <v>457</v>
      </c>
      <c r="J27" t="s">
        <v>458</v>
      </c>
    </row>
    <row r="28" spans="1:10" hidden="1">
      <c r="A28" s="262">
        <v>101</v>
      </c>
      <c r="B28" s="263">
        <v>41673</v>
      </c>
      <c r="D28" t="s">
        <v>212</v>
      </c>
      <c r="F28" s="47" t="s">
        <v>459</v>
      </c>
      <c r="G28" s="265">
        <v>1</v>
      </c>
      <c r="H28" s="48">
        <v>5.9</v>
      </c>
      <c r="I28" t="s">
        <v>457</v>
      </c>
      <c r="J28" t="s">
        <v>458</v>
      </c>
    </row>
    <row r="29" spans="1:10" hidden="1">
      <c r="A29" s="262">
        <v>51</v>
      </c>
      <c r="B29" s="263">
        <v>41675</v>
      </c>
      <c r="D29" t="s">
        <v>195</v>
      </c>
      <c r="E29" t="s">
        <v>196</v>
      </c>
      <c r="F29" s="47" t="s">
        <v>347</v>
      </c>
      <c r="G29" s="265">
        <v>120</v>
      </c>
      <c r="H29" s="48">
        <v>0.55000000000000004</v>
      </c>
      <c r="I29" t="s">
        <v>460</v>
      </c>
    </row>
    <row r="30" spans="1:10" hidden="1">
      <c r="A30" s="262">
        <v>801</v>
      </c>
      <c r="B30" s="263">
        <v>41681</v>
      </c>
      <c r="D30" t="s">
        <v>233</v>
      </c>
      <c r="E30" t="s">
        <v>408</v>
      </c>
      <c r="F30" s="47" t="s">
        <v>466</v>
      </c>
      <c r="G30" s="265">
        <v>1</v>
      </c>
      <c r="H30" s="48">
        <v>13.44</v>
      </c>
      <c r="I30" t="s">
        <v>467</v>
      </c>
    </row>
    <row r="31" spans="1:10" hidden="1">
      <c r="A31" s="262">
        <v>801</v>
      </c>
      <c r="B31" s="263">
        <v>41682</v>
      </c>
      <c r="D31" t="s">
        <v>233</v>
      </c>
      <c r="E31" t="s">
        <v>408</v>
      </c>
      <c r="F31" s="47" t="s">
        <v>347</v>
      </c>
      <c r="G31" s="265">
        <v>24</v>
      </c>
      <c r="H31" s="48">
        <v>0.47</v>
      </c>
      <c r="I31" t="s">
        <v>469</v>
      </c>
    </row>
    <row r="32" spans="1:10" hidden="1">
      <c r="A32" s="262">
        <v>211</v>
      </c>
      <c r="B32" s="263">
        <v>41682</v>
      </c>
      <c r="D32" t="s">
        <v>234</v>
      </c>
      <c r="E32" t="s">
        <v>235</v>
      </c>
      <c r="F32" s="47" t="s">
        <v>347</v>
      </c>
      <c r="G32" s="265">
        <v>96</v>
      </c>
      <c r="H32" s="48">
        <v>0.54999999999999993</v>
      </c>
      <c r="I32" t="s">
        <v>471</v>
      </c>
    </row>
    <row r="33" spans="1:10" hidden="1">
      <c r="A33" s="262">
        <v>802</v>
      </c>
      <c r="B33" s="263">
        <v>41684</v>
      </c>
      <c r="D33" t="s">
        <v>232</v>
      </c>
      <c r="E33" t="s">
        <v>201</v>
      </c>
      <c r="F33" s="47" t="s">
        <v>477</v>
      </c>
      <c r="G33" s="265">
        <v>5</v>
      </c>
      <c r="H33" s="48">
        <v>2.4899999999999998</v>
      </c>
      <c r="I33" t="s">
        <v>478</v>
      </c>
      <c r="J33" t="s">
        <v>479</v>
      </c>
    </row>
    <row r="34" spans="1:10" hidden="1">
      <c r="A34" s="262">
        <v>802</v>
      </c>
      <c r="B34" s="263">
        <v>41684</v>
      </c>
      <c r="D34" t="s">
        <v>232</v>
      </c>
      <c r="E34" t="s">
        <v>201</v>
      </c>
      <c r="F34" s="47" t="s">
        <v>411</v>
      </c>
      <c r="G34" s="265">
        <v>72</v>
      </c>
      <c r="H34" s="48">
        <v>0.85000000000000009</v>
      </c>
      <c r="I34" t="s">
        <v>478</v>
      </c>
      <c r="J34" t="s">
        <v>479</v>
      </c>
    </row>
    <row r="35" spans="1:10" hidden="1">
      <c r="A35" s="262">
        <v>802</v>
      </c>
      <c r="B35" s="263">
        <v>41684</v>
      </c>
      <c r="D35" t="s">
        <v>232</v>
      </c>
      <c r="E35" t="s">
        <v>201</v>
      </c>
      <c r="F35" s="47" t="s">
        <v>466</v>
      </c>
      <c r="G35" s="265">
        <v>1</v>
      </c>
      <c r="H35" s="48">
        <v>12.49</v>
      </c>
      <c r="I35" t="s">
        <v>478</v>
      </c>
      <c r="J35" t="s">
        <v>479</v>
      </c>
    </row>
    <row r="36" spans="1:10" hidden="1">
      <c r="A36" s="262">
        <v>802</v>
      </c>
      <c r="B36" s="263">
        <v>41684</v>
      </c>
      <c r="D36" t="s">
        <v>232</v>
      </c>
      <c r="E36" t="s">
        <v>201</v>
      </c>
      <c r="F36" s="47" t="s">
        <v>480</v>
      </c>
      <c r="G36" s="265">
        <v>1</v>
      </c>
      <c r="H36" s="48">
        <v>6.24</v>
      </c>
      <c r="I36" t="s">
        <v>478</v>
      </c>
      <c r="J36" t="s">
        <v>479</v>
      </c>
    </row>
    <row r="37" spans="1:10" hidden="1">
      <c r="A37" s="262">
        <v>802</v>
      </c>
      <c r="B37" s="263">
        <v>41684</v>
      </c>
      <c r="D37" t="s">
        <v>232</v>
      </c>
      <c r="E37" t="s">
        <v>201</v>
      </c>
      <c r="F37" s="47" t="s">
        <v>480</v>
      </c>
      <c r="G37" s="265">
        <v>1</v>
      </c>
      <c r="H37" s="48">
        <v>8.75</v>
      </c>
      <c r="I37" t="s">
        <v>478</v>
      </c>
      <c r="J37" t="s">
        <v>479</v>
      </c>
    </row>
    <row r="38" spans="1:10" hidden="1">
      <c r="A38" s="262">
        <v>201</v>
      </c>
      <c r="B38" s="263">
        <v>41688</v>
      </c>
      <c r="D38" t="s">
        <v>228</v>
      </c>
      <c r="F38" s="47" t="s">
        <v>347</v>
      </c>
      <c r="G38" s="265">
        <v>72</v>
      </c>
      <c r="H38" s="48">
        <v>0.55000000000000004</v>
      </c>
      <c r="I38" t="s">
        <v>488</v>
      </c>
    </row>
    <row r="39" spans="1:10" hidden="1">
      <c r="A39" s="262">
        <v>203</v>
      </c>
      <c r="B39" s="263">
        <v>41688</v>
      </c>
      <c r="D39" t="s">
        <v>489</v>
      </c>
      <c r="E39" t="s">
        <v>490</v>
      </c>
      <c r="F39" s="47" t="s">
        <v>347</v>
      </c>
      <c r="G39" s="265">
        <v>72</v>
      </c>
      <c r="H39" s="48">
        <v>0.55000000000000004</v>
      </c>
      <c r="I39" t="s">
        <v>499</v>
      </c>
    </row>
    <row r="40" spans="1:10" hidden="1">
      <c r="A40" s="262">
        <v>801</v>
      </c>
      <c r="B40" s="263">
        <v>41689</v>
      </c>
      <c r="D40" t="s">
        <v>233</v>
      </c>
      <c r="E40" t="s">
        <v>408</v>
      </c>
      <c r="F40" s="47" t="s">
        <v>512</v>
      </c>
      <c r="G40" s="265">
        <v>16</v>
      </c>
      <c r="H40" s="48">
        <v>3.99</v>
      </c>
      <c r="I40" t="s">
        <v>513</v>
      </c>
      <c r="J40" t="s">
        <v>514</v>
      </c>
    </row>
    <row r="41" spans="1:10" hidden="1">
      <c r="A41" s="262">
        <v>303</v>
      </c>
      <c r="B41" s="263">
        <v>41689</v>
      </c>
      <c r="D41" t="s">
        <v>269</v>
      </c>
      <c r="E41" t="s">
        <v>270</v>
      </c>
      <c r="F41" s="47" t="s">
        <v>347</v>
      </c>
      <c r="G41" s="265">
        <v>72</v>
      </c>
      <c r="H41" s="48">
        <v>0.59</v>
      </c>
      <c r="I41" t="s">
        <v>517</v>
      </c>
    </row>
    <row r="42" spans="1:10" hidden="1">
      <c r="A42" s="262">
        <v>52</v>
      </c>
      <c r="B42" s="263">
        <v>41691</v>
      </c>
      <c r="D42" t="s">
        <v>392</v>
      </c>
      <c r="E42" t="s">
        <v>393</v>
      </c>
      <c r="F42" s="47" t="s">
        <v>411</v>
      </c>
      <c r="G42" s="265">
        <v>6</v>
      </c>
      <c r="H42" s="48">
        <v>0.85</v>
      </c>
      <c r="I42" t="s">
        <v>520</v>
      </c>
    </row>
    <row r="43" spans="1:10" hidden="1">
      <c r="A43" s="262">
        <v>52</v>
      </c>
      <c r="B43" s="263">
        <v>41691</v>
      </c>
      <c r="D43" t="s">
        <v>392</v>
      </c>
      <c r="E43" t="s">
        <v>393</v>
      </c>
      <c r="F43" s="47" t="s">
        <v>410</v>
      </c>
      <c r="G43" s="265">
        <v>6</v>
      </c>
      <c r="H43" s="48">
        <v>0.85</v>
      </c>
      <c r="I43" t="s">
        <v>520</v>
      </c>
    </row>
    <row r="44" spans="1:10" hidden="1">
      <c r="A44" s="262">
        <v>602</v>
      </c>
      <c r="B44" s="263">
        <v>41695</v>
      </c>
      <c r="D44" t="s">
        <v>324</v>
      </c>
      <c r="E44" t="s">
        <v>325</v>
      </c>
      <c r="F44" s="47" t="s">
        <v>411</v>
      </c>
      <c r="G44" s="265">
        <v>36</v>
      </c>
      <c r="H44" s="48">
        <v>0.85000000000000009</v>
      </c>
      <c r="I44" t="s">
        <v>523</v>
      </c>
      <c r="J44" t="s">
        <v>524</v>
      </c>
    </row>
    <row r="45" spans="1:10" hidden="1">
      <c r="A45" s="262">
        <v>602</v>
      </c>
      <c r="B45" s="263">
        <v>41695</v>
      </c>
      <c r="D45" t="s">
        <v>324</v>
      </c>
      <c r="E45" t="s">
        <v>325</v>
      </c>
      <c r="F45" s="47" t="s">
        <v>410</v>
      </c>
      <c r="G45" s="265">
        <v>36</v>
      </c>
      <c r="H45" s="48">
        <v>0.85000000000000009</v>
      </c>
      <c r="I45" t="s">
        <v>523</v>
      </c>
      <c r="J45" t="s">
        <v>524</v>
      </c>
    </row>
    <row r="46" spans="1:10" hidden="1">
      <c r="A46" s="262">
        <v>801</v>
      </c>
      <c r="B46" s="263">
        <v>41705</v>
      </c>
      <c r="D46" t="s">
        <v>233</v>
      </c>
      <c r="E46" t="s">
        <v>408</v>
      </c>
      <c r="F46" s="47" t="s">
        <v>347</v>
      </c>
      <c r="G46" s="265">
        <v>48</v>
      </c>
      <c r="H46" s="48">
        <v>0.49</v>
      </c>
      <c r="I46" t="s">
        <v>538</v>
      </c>
    </row>
    <row r="47" spans="1:10" hidden="1">
      <c r="A47" s="262">
        <v>801</v>
      </c>
      <c r="B47" s="263">
        <v>41705</v>
      </c>
      <c r="D47" t="s">
        <v>233</v>
      </c>
      <c r="E47" t="s">
        <v>408</v>
      </c>
      <c r="F47" s="47" t="s">
        <v>410</v>
      </c>
      <c r="G47" s="265">
        <v>36</v>
      </c>
      <c r="H47" s="48">
        <v>0.85000000000000009</v>
      </c>
      <c r="I47" t="s">
        <v>538</v>
      </c>
    </row>
    <row r="48" spans="1:10" hidden="1">
      <c r="A48" s="262">
        <v>301</v>
      </c>
      <c r="B48" s="263">
        <v>41709</v>
      </c>
      <c r="D48" t="s">
        <v>259</v>
      </c>
      <c r="F48" s="47" t="s">
        <v>347</v>
      </c>
      <c r="G48" s="265">
        <v>48</v>
      </c>
      <c r="H48" s="48">
        <v>0.6</v>
      </c>
      <c r="I48" t="s">
        <v>544</v>
      </c>
    </row>
    <row r="49" spans="1:10" hidden="1">
      <c r="A49" s="262">
        <v>201</v>
      </c>
      <c r="B49" s="263">
        <v>41709</v>
      </c>
      <c r="D49" t="s">
        <v>228</v>
      </c>
      <c r="F49" s="47" t="s">
        <v>347</v>
      </c>
      <c r="G49" s="265">
        <v>96</v>
      </c>
      <c r="H49" s="48">
        <v>0.54999999999999993</v>
      </c>
      <c r="I49" t="s">
        <v>548</v>
      </c>
      <c r="J49" t="s">
        <v>549</v>
      </c>
    </row>
    <row r="50" spans="1:10" hidden="1">
      <c r="A50" s="262">
        <v>212</v>
      </c>
      <c r="B50" s="263">
        <v>41711</v>
      </c>
      <c r="D50" t="s">
        <v>245</v>
      </c>
      <c r="E50" t="s">
        <v>240</v>
      </c>
      <c r="F50" s="47" t="s">
        <v>347</v>
      </c>
      <c r="G50" s="265">
        <v>24</v>
      </c>
      <c r="H50" s="48">
        <v>0.59</v>
      </c>
      <c r="I50" t="s">
        <v>568</v>
      </c>
    </row>
    <row r="51" spans="1:10" hidden="1">
      <c r="A51" s="262">
        <v>311</v>
      </c>
      <c r="B51" s="263">
        <v>41716</v>
      </c>
      <c r="D51" t="s">
        <v>264</v>
      </c>
      <c r="E51" t="s">
        <v>265</v>
      </c>
      <c r="F51" s="47" t="s">
        <v>347</v>
      </c>
      <c r="G51" s="265">
        <v>12</v>
      </c>
      <c r="H51" s="48">
        <v>0.59</v>
      </c>
      <c r="I51" t="s">
        <v>571</v>
      </c>
    </row>
    <row r="52" spans="1:10" hidden="1">
      <c r="A52" s="262">
        <v>51</v>
      </c>
      <c r="B52" s="263">
        <v>41716</v>
      </c>
      <c r="D52" t="s">
        <v>195</v>
      </c>
      <c r="E52" t="s">
        <v>196</v>
      </c>
      <c r="F52" s="47" t="s">
        <v>347</v>
      </c>
      <c r="G52" s="265">
        <v>48</v>
      </c>
      <c r="H52" s="48">
        <v>0.54999999999999993</v>
      </c>
      <c r="I52" t="s">
        <v>575</v>
      </c>
    </row>
    <row r="53" spans="1:10" hidden="1">
      <c r="A53" s="262">
        <v>211</v>
      </c>
      <c r="B53" s="263">
        <v>41716</v>
      </c>
      <c r="D53" t="s">
        <v>234</v>
      </c>
      <c r="E53" t="s">
        <v>235</v>
      </c>
      <c r="F53" s="47" t="s">
        <v>347</v>
      </c>
      <c r="G53" s="265">
        <v>96</v>
      </c>
      <c r="H53" s="48">
        <v>0.54999999999999993</v>
      </c>
      <c r="I53" t="s">
        <v>577</v>
      </c>
    </row>
    <row r="54" spans="1:10" hidden="1">
      <c r="A54" s="262">
        <v>302</v>
      </c>
      <c r="B54" s="263">
        <v>41724</v>
      </c>
      <c r="D54" t="s">
        <v>291</v>
      </c>
      <c r="E54" t="s">
        <v>292</v>
      </c>
      <c r="F54" s="47" t="s">
        <v>347</v>
      </c>
      <c r="G54" s="265">
        <v>24</v>
      </c>
      <c r="H54" s="48">
        <v>0.54999999999999993</v>
      </c>
      <c r="I54" t="s">
        <v>580</v>
      </c>
      <c r="J54" t="s">
        <v>581</v>
      </c>
    </row>
    <row r="55" spans="1:10" hidden="1">
      <c r="A55" s="262">
        <v>212</v>
      </c>
      <c r="B55" s="263">
        <v>41726</v>
      </c>
      <c r="D55" t="s">
        <v>245</v>
      </c>
      <c r="E55" t="s">
        <v>240</v>
      </c>
      <c r="F55" s="47" t="s">
        <v>347</v>
      </c>
      <c r="G55" s="265">
        <v>48</v>
      </c>
      <c r="H55" s="48">
        <v>0.59</v>
      </c>
      <c r="I55" t="s">
        <v>592</v>
      </c>
    </row>
    <row r="56" spans="1:10" hidden="1">
      <c r="A56" s="262">
        <v>250</v>
      </c>
      <c r="B56" s="263">
        <v>41729</v>
      </c>
      <c r="D56" t="s">
        <v>593</v>
      </c>
      <c r="E56" t="s">
        <v>594</v>
      </c>
      <c r="F56" s="47" t="s">
        <v>347</v>
      </c>
      <c r="G56" s="265">
        <v>24</v>
      </c>
      <c r="H56" s="48">
        <v>0.65</v>
      </c>
      <c r="I56" t="s">
        <v>601</v>
      </c>
      <c r="J56" t="s">
        <v>602</v>
      </c>
    </row>
    <row r="57" spans="1:10" hidden="1">
      <c r="A57" s="262">
        <v>502</v>
      </c>
      <c r="B57" s="263">
        <v>41729</v>
      </c>
      <c r="D57" t="s">
        <v>306</v>
      </c>
      <c r="E57" t="s">
        <v>307</v>
      </c>
      <c r="F57" s="47" t="s">
        <v>411</v>
      </c>
      <c r="G57" s="265">
        <v>36</v>
      </c>
      <c r="H57" s="48">
        <v>0.85000000000000009</v>
      </c>
      <c r="I57" t="s">
        <v>607</v>
      </c>
      <c r="J57" t="s">
        <v>608</v>
      </c>
    </row>
    <row r="58" spans="1:10" hidden="1">
      <c r="A58" s="262">
        <v>504</v>
      </c>
      <c r="B58" s="263">
        <v>41729</v>
      </c>
      <c r="D58" t="s">
        <v>611</v>
      </c>
      <c r="E58" t="s">
        <v>612</v>
      </c>
      <c r="F58" s="47" t="s">
        <v>347</v>
      </c>
      <c r="G58" s="265">
        <v>24</v>
      </c>
      <c r="H58" s="48">
        <v>0.6</v>
      </c>
      <c r="I58" t="s">
        <v>617</v>
      </c>
      <c r="J58" t="s">
        <v>618</v>
      </c>
    </row>
    <row r="59" spans="1:10" hidden="1">
      <c r="A59" s="262">
        <v>801</v>
      </c>
      <c r="B59" s="263">
        <v>41729</v>
      </c>
      <c r="D59" t="s">
        <v>233</v>
      </c>
      <c r="E59" t="s">
        <v>408</v>
      </c>
      <c r="F59" s="47" t="s">
        <v>347</v>
      </c>
      <c r="G59" s="265">
        <v>24</v>
      </c>
      <c r="H59" s="48">
        <v>0.54999999999999993</v>
      </c>
      <c r="I59" t="s">
        <v>626</v>
      </c>
      <c r="J59" t="s">
        <v>627</v>
      </c>
    </row>
    <row r="60" spans="1:10" hidden="1">
      <c r="A60" s="262">
        <v>304</v>
      </c>
      <c r="B60" s="263">
        <v>41729</v>
      </c>
      <c r="D60" t="s">
        <v>629</v>
      </c>
      <c r="E60" t="s">
        <v>630</v>
      </c>
      <c r="F60" s="47" t="s">
        <v>347</v>
      </c>
      <c r="G60" s="265">
        <v>24</v>
      </c>
      <c r="H60" s="48">
        <v>0.65</v>
      </c>
      <c r="I60" t="s">
        <v>636</v>
      </c>
      <c r="J60" t="s">
        <v>637</v>
      </c>
    </row>
    <row r="61" spans="1:10" hidden="1">
      <c r="A61" s="262">
        <v>501</v>
      </c>
      <c r="B61" s="263">
        <v>41729</v>
      </c>
      <c r="D61" t="s">
        <v>254</v>
      </c>
      <c r="E61" t="s">
        <v>255</v>
      </c>
      <c r="F61" s="47" t="s">
        <v>347</v>
      </c>
      <c r="G61" s="265">
        <v>24</v>
      </c>
      <c r="H61" s="48">
        <v>0.59</v>
      </c>
      <c r="I61" t="s">
        <v>641</v>
      </c>
      <c r="J61" t="s">
        <v>642</v>
      </c>
    </row>
    <row r="62" spans="1:10" hidden="1">
      <c r="A62" s="262">
        <v>211</v>
      </c>
      <c r="B62" s="263">
        <v>41731</v>
      </c>
      <c r="D62" t="s">
        <v>234</v>
      </c>
      <c r="E62" t="s">
        <v>235</v>
      </c>
      <c r="F62" s="47" t="s">
        <v>347</v>
      </c>
      <c r="G62" s="265">
        <v>48</v>
      </c>
      <c r="H62" s="48">
        <v>0.54999999999999993</v>
      </c>
      <c r="I62" t="s">
        <v>647</v>
      </c>
    </row>
    <row r="63" spans="1:10" hidden="1">
      <c r="A63" s="262">
        <v>801</v>
      </c>
      <c r="B63" s="263">
        <v>41753</v>
      </c>
      <c r="D63" t="s">
        <v>233</v>
      </c>
      <c r="E63" t="s">
        <v>408</v>
      </c>
      <c r="F63" s="47" t="s">
        <v>653</v>
      </c>
      <c r="G63" s="265">
        <v>16</v>
      </c>
      <c r="H63" s="48">
        <v>4.3899999999999997</v>
      </c>
      <c r="I63" t="s">
        <v>654</v>
      </c>
      <c r="J63" t="s">
        <v>655</v>
      </c>
    </row>
    <row r="64" spans="1:10" hidden="1">
      <c r="A64" s="262">
        <v>312</v>
      </c>
      <c r="B64" s="263">
        <v>41754</v>
      </c>
      <c r="D64" t="s">
        <v>275</v>
      </c>
      <c r="E64" t="s">
        <v>657</v>
      </c>
      <c r="F64" s="47" t="s">
        <v>347</v>
      </c>
      <c r="G64" s="265">
        <v>24</v>
      </c>
      <c r="H64" s="48">
        <v>0.6</v>
      </c>
      <c r="I64" t="s">
        <v>662</v>
      </c>
      <c r="J64" t="s">
        <v>663</v>
      </c>
    </row>
    <row r="65" spans="1:10" hidden="1">
      <c r="A65" s="262">
        <v>211</v>
      </c>
      <c r="B65" s="263">
        <v>41754</v>
      </c>
      <c r="D65" t="s">
        <v>234</v>
      </c>
      <c r="E65" t="s">
        <v>235</v>
      </c>
      <c r="F65" s="47" t="s">
        <v>347</v>
      </c>
      <c r="G65" s="265">
        <v>24</v>
      </c>
      <c r="H65" s="48">
        <v>0.54999999999999993</v>
      </c>
      <c r="I65" t="s">
        <v>665</v>
      </c>
    </row>
    <row r="66" spans="1:10" hidden="1">
      <c r="A66" s="262">
        <v>51</v>
      </c>
      <c r="B66" s="263">
        <v>41800</v>
      </c>
      <c r="D66" t="s">
        <v>195</v>
      </c>
      <c r="E66" t="s">
        <v>196</v>
      </c>
      <c r="F66" s="47" t="s">
        <v>347</v>
      </c>
      <c r="G66" s="265">
        <v>24</v>
      </c>
      <c r="H66" s="48">
        <v>0.54999999999999993</v>
      </c>
      <c r="I66" t="s">
        <v>671</v>
      </c>
      <c r="J66" t="s">
        <v>672</v>
      </c>
    </row>
    <row r="67" spans="1:10" hidden="1">
      <c r="A67" s="262">
        <v>801</v>
      </c>
      <c r="B67" s="263">
        <v>41803</v>
      </c>
      <c r="D67" t="s">
        <v>233</v>
      </c>
      <c r="E67" t="s">
        <v>408</v>
      </c>
      <c r="F67" s="47" t="s">
        <v>411</v>
      </c>
      <c r="G67" s="265">
        <v>108</v>
      </c>
      <c r="H67" s="48">
        <v>0.75</v>
      </c>
      <c r="I67" t="s">
        <v>674</v>
      </c>
    </row>
    <row r="68" spans="1:10" hidden="1">
      <c r="A68" s="262">
        <v>801</v>
      </c>
      <c r="B68" s="263">
        <v>41803</v>
      </c>
      <c r="D68" t="s">
        <v>233</v>
      </c>
      <c r="E68" t="s">
        <v>408</v>
      </c>
      <c r="F68" s="47" t="s">
        <v>410</v>
      </c>
      <c r="G68" s="265">
        <v>108</v>
      </c>
      <c r="H68" s="48">
        <v>0.75</v>
      </c>
      <c r="I68" t="s">
        <v>674</v>
      </c>
    </row>
    <row r="69" spans="1:10" hidden="1">
      <c r="A69" s="262">
        <v>801</v>
      </c>
      <c r="B69" s="263">
        <v>41803</v>
      </c>
      <c r="D69" t="s">
        <v>233</v>
      </c>
      <c r="E69" t="s">
        <v>408</v>
      </c>
      <c r="F69" s="47" t="s">
        <v>675</v>
      </c>
      <c r="G69" s="265">
        <v>1</v>
      </c>
      <c r="H69" s="48">
        <v>1</v>
      </c>
      <c r="I69" t="s">
        <v>674</v>
      </c>
    </row>
    <row r="70" spans="1:10" hidden="1">
      <c r="A70" s="262">
        <v>802</v>
      </c>
      <c r="B70" s="263">
        <v>41803</v>
      </c>
      <c r="D70" t="s">
        <v>232</v>
      </c>
      <c r="E70" t="s">
        <v>201</v>
      </c>
      <c r="F70" s="47" t="s">
        <v>411</v>
      </c>
      <c r="G70" s="265">
        <v>108</v>
      </c>
      <c r="H70" s="48">
        <v>0.69</v>
      </c>
      <c r="I70" t="s">
        <v>677</v>
      </c>
    </row>
    <row r="71" spans="1:10" hidden="1">
      <c r="A71" s="262">
        <v>801</v>
      </c>
      <c r="B71" s="263">
        <v>41804</v>
      </c>
      <c r="D71" t="s">
        <v>233</v>
      </c>
      <c r="E71" t="s">
        <v>408</v>
      </c>
      <c r="F71" s="47" t="s">
        <v>480</v>
      </c>
      <c r="G71" s="265">
        <v>1</v>
      </c>
      <c r="H71" s="48">
        <v>2</v>
      </c>
      <c r="I71" t="s">
        <v>679</v>
      </c>
    </row>
    <row r="72" spans="1:10" hidden="1">
      <c r="A72" s="262">
        <v>801</v>
      </c>
      <c r="B72" s="263">
        <v>41804</v>
      </c>
      <c r="D72" t="s">
        <v>233</v>
      </c>
      <c r="E72" t="s">
        <v>408</v>
      </c>
      <c r="F72" s="47" t="s">
        <v>680</v>
      </c>
      <c r="G72" s="265">
        <v>1</v>
      </c>
      <c r="H72" s="48">
        <v>15</v>
      </c>
      <c r="I72" t="s">
        <v>679</v>
      </c>
    </row>
    <row r="73" spans="1:10" hidden="1">
      <c r="A73" s="262">
        <v>304</v>
      </c>
      <c r="B73" s="263">
        <v>41815</v>
      </c>
      <c r="D73" t="s">
        <v>629</v>
      </c>
      <c r="E73" t="s">
        <v>630</v>
      </c>
      <c r="F73" s="47" t="s">
        <v>347</v>
      </c>
      <c r="G73" s="265">
        <v>192</v>
      </c>
      <c r="H73" s="48">
        <v>0.57999999999999996</v>
      </c>
      <c r="I73" t="s">
        <v>694</v>
      </c>
    </row>
    <row r="74" spans="1:10" hidden="1">
      <c r="A74" s="262">
        <v>250</v>
      </c>
      <c r="B74" s="263">
        <v>41815</v>
      </c>
      <c r="D74" t="s">
        <v>593</v>
      </c>
      <c r="E74" t="s">
        <v>594</v>
      </c>
      <c r="F74" s="47" t="s">
        <v>347</v>
      </c>
      <c r="G74" s="265">
        <v>96</v>
      </c>
      <c r="H74" s="48">
        <v>0.59</v>
      </c>
      <c r="I74" t="s">
        <v>696</v>
      </c>
    </row>
    <row r="75" spans="1:10" hidden="1">
      <c r="A75" s="262">
        <v>211</v>
      </c>
      <c r="B75" s="263">
        <v>41815</v>
      </c>
      <c r="D75" t="s">
        <v>234</v>
      </c>
      <c r="E75" t="s">
        <v>235</v>
      </c>
      <c r="F75" s="47" t="s">
        <v>347</v>
      </c>
      <c r="G75" s="265">
        <v>96</v>
      </c>
      <c r="H75" s="48">
        <v>0.49</v>
      </c>
      <c r="I75" t="s">
        <v>698</v>
      </c>
    </row>
    <row r="76" spans="1:10" hidden="1">
      <c r="A76" s="262">
        <v>303</v>
      </c>
      <c r="B76" s="263">
        <v>41815</v>
      </c>
      <c r="D76" t="s">
        <v>269</v>
      </c>
      <c r="E76" t="s">
        <v>270</v>
      </c>
      <c r="F76" s="47" t="s">
        <v>347</v>
      </c>
      <c r="G76" s="265">
        <v>120</v>
      </c>
      <c r="H76" s="48">
        <v>0.59</v>
      </c>
      <c r="I76" t="s">
        <v>700</v>
      </c>
    </row>
    <row r="77" spans="1:10" hidden="1">
      <c r="A77" s="262">
        <v>301</v>
      </c>
      <c r="B77" s="263">
        <v>41815</v>
      </c>
      <c r="D77" t="s">
        <v>259</v>
      </c>
      <c r="F77" s="47" t="s">
        <v>347</v>
      </c>
      <c r="G77" s="265">
        <v>96</v>
      </c>
      <c r="H77" s="48">
        <v>0.59</v>
      </c>
      <c r="I77" t="s">
        <v>703</v>
      </c>
    </row>
    <row r="78" spans="1:10" hidden="1">
      <c r="A78" s="262">
        <v>801</v>
      </c>
      <c r="B78" s="263">
        <v>41815</v>
      </c>
      <c r="D78" t="s">
        <v>233</v>
      </c>
      <c r="E78" t="s">
        <v>408</v>
      </c>
      <c r="F78" s="47" t="s">
        <v>347</v>
      </c>
      <c r="G78" s="265">
        <v>192</v>
      </c>
      <c r="H78" s="48">
        <v>0.49</v>
      </c>
      <c r="I78" t="s">
        <v>705</v>
      </c>
      <c r="J78" t="s">
        <v>707</v>
      </c>
    </row>
    <row r="79" spans="1:10" hidden="1">
      <c r="A79" s="262">
        <v>202</v>
      </c>
      <c r="B79" s="263">
        <v>41815</v>
      </c>
      <c r="D79" t="s">
        <v>222</v>
      </c>
      <c r="E79" t="s">
        <v>223</v>
      </c>
      <c r="F79" s="47" t="s">
        <v>347</v>
      </c>
      <c r="G79" s="265">
        <v>48</v>
      </c>
      <c r="H79" s="48">
        <v>0.49</v>
      </c>
      <c r="I79" t="s">
        <v>708</v>
      </c>
    </row>
    <row r="80" spans="1:10" hidden="1">
      <c r="A80" s="262">
        <v>201</v>
      </c>
      <c r="B80" s="263">
        <v>41816</v>
      </c>
      <c r="D80" t="s">
        <v>228</v>
      </c>
      <c r="F80" s="47" t="s">
        <v>347</v>
      </c>
      <c r="G80" s="265">
        <v>192</v>
      </c>
      <c r="H80" s="48">
        <v>0.54999999999999993</v>
      </c>
      <c r="I80" t="s">
        <v>712</v>
      </c>
    </row>
    <row r="81" spans="1:10" hidden="1">
      <c r="A81" s="262">
        <v>212</v>
      </c>
      <c r="B81" s="263">
        <v>41816</v>
      </c>
      <c r="D81" t="s">
        <v>245</v>
      </c>
      <c r="E81" t="s">
        <v>240</v>
      </c>
      <c r="F81" s="47" t="s">
        <v>347</v>
      </c>
      <c r="G81" s="265">
        <v>192</v>
      </c>
      <c r="H81" s="48">
        <v>0.54999999999999993</v>
      </c>
      <c r="I81" t="s">
        <v>714</v>
      </c>
      <c r="J81" t="s">
        <v>716</v>
      </c>
    </row>
    <row r="82" spans="1:10" hidden="1">
      <c r="A82" s="262">
        <v>311</v>
      </c>
      <c r="B82" s="263">
        <v>41820</v>
      </c>
      <c r="D82" t="s">
        <v>264</v>
      </c>
      <c r="E82" t="s">
        <v>265</v>
      </c>
      <c r="F82" s="47" t="s">
        <v>347</v>
      </c>
      <c r="G82" s="265">
        <v>96</v>
      </c>
      <c r="H82" s="48">
        <v>0.54999999999999993</v>
      </c>
      <c r="I82" t="s">
        <v>717</v>
      </c>
    </row>
    <row r="83" spans="1:10" hidden="1">
      <c r="A83" s="262">
        <v>411</v>
      </c>
      <c r="B83" s="263">
        <v>41820</v>
      </c>
      <c r="D83" t="s">
        <v>300</v>
      </c>
      <c r="E83" t="s">
        <v>301</v>
      </c>
      <c r="F83" s="47" t="s">
        <v>347</v>
      </c>
      <c r="G83" s="265">
        <v>48</v>
      </c>
      <c r="H83" s="48">
        <v>0.54</v>
      </c>
      <c r="I83" t="s">
        <v>719</v>
      </c>
    </row>
    <row r="84" spans="1:10" hidden="1">
      <c r="A84" s="262">
        <v>315</v>
      </c>
      <c r="B84" s="263">
        <v>41820</v>
      </c>
      <c r="D84" t="s">
        <v>724</v>
      </c>
      <c r="E84" t="s">
        <v>725</v>
      </c>
      <c r="F84" s="47" t="s">
        <v>347</v>
      </c>
      <c r="G84" s="265">
        <v>96</v>
      </c>
      <c r="H84" s="48">
        <v>0.49</v>
      </c>
      <c r="I84" t="s">
        <v>733</v>
      </c>
    </row>
    <row r="85" spans="1:10" hidden="1">
      <c r="A85" s="262">
        <v>214</v>
      </c>
      <c r="B85" s="263">
        <v>41821</v>
      </c>
      <c r="D85" t="s">
        <v>741</v>
      </c>
      <c r="E85" t="s">
        <v>742</v>
      </c>
      <c r="F85" s="47" t="s">
        <v>347</v>
      </c>
      <c r="G85" s="265">
        <v>48</v>
      </c>
      <c r="H85" s="48">
        <v>0.54999999999999993</v>
      </c>
      <c r="I85" t="s">
        <v>750</v>
      </c>
    </row>
    <row r="86" spans="1:10" hidden="1">
      <c r="A86" s="262">
        <v>501</v>
      </c>
      <c r="B86" s="263">
        <v>41821</v>
      </c>
      <c r="D86" t="s">
        <v>254</v>
      </c>
      <c r="E86" t="s">
        <v>255</v>
      </c>
      <c r="F86" s="47" t="s">
        <v>347</v>
      </c>
      <c r="G86" s="265">
        <v>96</v>
      </c>
      <c r="H86" s="48">
        <v>0.52</v>
      </c>
      <c r="I86" t="s">
        <v>754</v>
      </c>
    </row>
    <row r="87" spans="1:10" hidden="1">
      <c r="A87" s="262">
        <v>213</v>
      </c>
      <c r="B87" s="263">
        <v>41822</v>
      </c>
      <c r="D87" t="s">
        <v>246</v>
      </c>
      <c r="E87" t="s">
        <v>247</v>
      </c>
      <c r="F87" s="47" t="s">
        <v>347</v>
      </c>
      <c r="G87" s="265">
        <v>24</v>
      </c>
      <c r="H87" s="48">
        <v>0.54999999999999993</v>
      </c>
      <c r="I87" t="s">
        <v>798</v>
      </c>
    </row>
    <row r="88" spans="1:10" hidden="1">
      <c r="A88" s="262">
        <v>215</v>
      </c>
      <c r="B88" s="263">
        <v>41822</v>
      </c>
      <c r="D88" t="s">
        <v>805</v>
      </c>
      <c r="E88" t="s">
        <v>806</v>
      </c>
      <c r="F88" s="47" t="s">
        <v>347</v>
      </c>
      <c r="G88" s="265">
        <v>24</v>
      </c>
      <c r="H88" s="48">
        <v>0.54999999999999993</v>
      </c>
      <c r="I88" t="s">
        <v>811</v>
      </c>
    </row>
    <row r="89" spans="1:10" hidden="1">
      <c r="A89" s="262">
        <v>550</v>
      </c>
      <c r="B89" s="263">
        <v>41823</v>
      </c>
      <c r="D89" t="s">
        <v>827</v>
      </c>
      <c r="E89" t="s">
        <v>828</v>
      </c>
      <c r="F89" s="47" t="s">
        <v>347</v>
      </c>
      <c r="G89" s="265">
        <v>48</v>
      </c>
      <c r="H89" s="48">
        <v>0.49</v>
      </c>
      <c r="I89" t="s">
        <v>833</v>
      </c>
    </row>
    <row r="90" spans="1:10" hidden="1">
      <c r="A90" s="262">
        <v>551</v>
      </c>
      <c r="B90" s="263">
        <v>41824</v>
      </c>
      <c r="D90" t="s">
        <v>837</v>
      </c>
      <c r="E90" t="s">
        <v>838</v>
      </c>
      <c r="F90" s="47" t="s">
        <v>347</v>
      </c>
      <c r="G90" s="265">
        <v>24</v>
      </c>
      <c r="H90" s="48">
        <v>0.49</v>
      </c>
      <c r="I90" t="s">
        <v>843</v>
      </c>
    </row>
    <row r="91" spans="1:10" hidden="1">
      <c r="A91" s="262">
        <v>260</v>
      </c>
      <c r="B91" s="263">
        <v>41824</v>
      </c>
      <c r="D91" t="s">
        <v>817</v>
      </c>
      <c r="E91" t="s">
        <v>818</v>
      </c>
      <c r="F91" s="47" t="s">
        <v>347</v>
      </c>
      <c r="G91" s="265">
        <v>192</v>
      </c>
      <c r="H91" s="48">
        <v>0.49</v>
      </c>
      <c r="I91" t="s">
        <v>849</v>
      </c>
    </row>
    <row r="92" spans="1:10" hidden="1">
      <c r="A92" s="262">
        <v>305</v>
      </c>
      <c r="B92" s="263">
        <v>41827</v>
      </c>
      <c r="D92" t="s">
        <v>853</v>
      </c>
      <c r="E92" t="s">
        <v>854</v>
      </c>
      <c r="F92" s="47" t="s">
        <v>347</v>
      </c>
      <c r="G92" s="265">
        <v>192</v>
      </c>
      <c r="H92" s="48">
        <v>0.52</v>
      </c>
      <c r="I92" t="s">
        <v>863</v>
      </c>
      <c r="J92" t="s">
        <v>866</v>
      </c>
    </row>
    <row r="93" spans="1:10" hidden="1">
      <c r="A93" s="262">
        <v>204</v>
      </c>
      <c r="B93" s="263">
        <v>41827</v>
      </c>
      <c r="D93" t="s">
        <v>868</v>
      </c>
      <c r="E93" t="s">
        <v>869</v>
      </c>
      <c r="F93" s="47" t="s">
        <v>347</v>
      </c>
      <c r="G93" s="265">
        <v>96</v>
      </c>
      <c r="H93" s="48">
        <v>0.49</v>
      </c>
      <c r="I93" t="s">
        <v>876</v>
      </c>
    </row>
    <row r="94" spans="1:10" hidden="1">
      <c r="A94" s="262">
        <v>450</v>
      </c>
      <c r="B94" s="263">
        <v>41827</v>
      </c>
      <c r="D94" t="s">
        <v>767</v>
      </c>
      <c r="E94" t="s">
        <v>768</v>
      </c>
      <c r="F94" s="47" t="s">
        <v>347</v>
      </c>
      <c r="G94" s="265">
        <v>96</v>
      </c>
      <c r="H94" s="48">
        <v>0.49</v>
      </c>
      <c r="I94" t="s">
        <v>898</v>
      </c>
    </row>
    <row r="95" spans="1:10" hidden="1">
      <c r="A95" s="262">
        <v>205</v>
      </c>
      <c r="B95" s="263">
        <v>41829</v>
      </c>
      <c r="D95" t="s">
        <v>931</v>
      </c>
      <c r="E95" t="s">
        <v>932</v>
      </c>
      <c r="F95" s="47" t="s">
        <v>347</v>
      </c>
      <c r="G95" s="265">
        <v>24</v>
      </c>
      <c r="H95" s="48">
        <v>0.49</v>
      </c>
      <c r="I95" t="s">
        <v>938</v>
      </c>
    </row>
    <row r="96" spans="1:10" hidden="1">
      <c r="A96" s="262">
        <v>213</v>
      </c>
      <c r="B96" s="263">
        <v>41829</v>
      </c>
      <c r="D96" t="s">
        <v>246</v>
      </c>
      <c r="E96" t="s">
        <v>247</v>
      </c>
      <c r="F96" s="47" t="s">
        <v>347</v>
      </c>
      <c r="G96" s="265">
        <v>72</v>
      </c>
      <c r="H96" s="48">
        <v>0.49</v>
      </c>
      <c r="I96" t="s">
        <v>942</v>
      </c>
    </row>
    <row r="97" spans="1:10" hidden="1">
      <c r="A97" s="262">
        <v>530</v>
      </c>
      <c r="B97" s="263">
        <v>41834</v>
      </c>
      <c r="D97" t="s">
        <v>823</v>
      </c>
      <c r="E97" t="s">
        <v>824</v>
      </c>
      <c r="F97" s="47" t="s">
        <v>347</v>
      </c>
      <c r="G97" s="265">
        <v>24</v>
      </c>
      <c r="H97" s="48">
        <v>0.49</v>
      </c>
      <c r="I97" t="s">
        <v>970</v>
      </c>
    </row>
    <row r="98" spans="1:10" hidden="1">
      <c r="A98" s="262">
        <v>314</v>
      </c>
      <c r="B98" s="263">
        <v>41834</v>
      </c>
      <c r="D98" t="s">
        <v>965</v>
      </c>
      <c r="E98" t="s">
        <v>896</v>
      </c>
      <c r="F98" s="47" t="s">
        <v>347</v>
      </c>
      <c r="G98" s="265">
        <v>24</v>
      </c>
      <c r="H98" s="48">
        <v>0.49</v>
      </c>
      <c r="I98" t="s">
        <v>974</v>
      </c>
    </row>
    <row r="99" spans="1:10" hidden="1">
      <c r="A99" s="262">
        <v>302</v>
      </c>
      <c r="B99" s="263">
        <v>41835</v>
      </c>
      <c r="D99" t="s">
        <v>291</v>
      </c>
      <c r="E99" t="s">
        <v>292</v>
      </c>
      <c r="F99" s="47" t="s">
        <v>347</v>
      </c>
      <c r="G99" s="265">
        <v>48</v>
      </c>
      <c r="H99" s="48">
        <v>0.49</v>
      </c>
      <c r="I99" t="s">
        <v>980</v>
      </c>
    </row>
    <row r="100" spans="1:10" hidden="1">
      <c r="A100" s="262">
        <v>570</v>
      </c>
      <c r="B100" s="263">
        <v>41835</v>
      </c>
      <c r="D100" t="s">
        <v>982</v>
      </c>
      <c r="E100" t="s">
        <v>983</v>
      </c>
      <c r="F100" s="47" t="s">
        <v>347</v>
      </c>
      <c r="G100" s="265">
        <v>96</v>
      </c>
      <c r="H100" s="48">
        <v>0.54999999999999993</v>
      </c>
      <c r="I100" t="s">
        <v>986</v>
      </c>
    </row>
    <row r="101" spans="1:10" hidden="1">
      <c r="A101" s="262">
        <v>307</v>
      </c>
      <c r="B101" s="263">
        <v>41835</v>
      </c>
      <c r="D101" t="s">
        <v>990</v>
      </c>
      <c r="E101" t="s">
        <v>991</v>
      </c>
      <c r="F101" s="47" t="s">
        <v>347</v>
      </c>
      <c r="G101" s="265">
        <v>24</v>
      </c>
      <c r="H101" s="48">
        <v>0.54999999999999993</v>
      </c>
      <c r="I101" t="s">
        <v>998</v>
      </c>
    </row>
    <row r="102" spans="1:10" hidden="1">
      <c r="A102" s="262">
        <v>320</v>
      </c>
      <c r="B102" s="263">
        <v>41835</v>
      </c>
      <c r="D102" t="s">
        <v>1002</v>
      </c>
      <c r="E102" t="s">
        <v>1003</v>
      </c>
      <c r="F102" s="47" t="s">
        <v>347</v>
      </c>
      <c r="G102" s="265">
        <v>48</v>
      </c>
      <c r="H102" s="48">
        <v>0.49</v>
      </c>
      <c r="I102" t="s">
        <v>1013</v>
      </c>
    </row>
    <row r="103" spans="1:10" hidden="1">
      <c r="A103" s="262">
        <v>552</v>
      </c>
      <c r="B103" s="263">
        <v>41835</v>
      </c>
      <c r="D103" t="s">
        <v>1020</v>
      </c>
      <c r="E103" t="s">
        <v>1021</v>
      </c>
      <c r="F103" s="47" t="s">
        <v>347</v>
      </c>
      <c r="G103" s="265">
        <v>96</v>
      </c>
      <c r="H103" s="48">
        <v>0.49</v>
      </c>
      <c r="I103" t="s">
        <v>1028</v>
      </c>
    </row>
    <row r="104" spans="1:10" hidden="1">
      <c r="A104" s="262">
        <v>261</v>
      </c>
      <c r="B104" s="263">
        <v>41838</v>
      </c>
      <c r="D104" t="s">
        <v>1032</v>
      </c>
      <c r="E104" t="s">
        <v>1033</v>
      </c>
      <c r="F104" s="47" t="s">
        <v>347</v>
      </c>
      <c r="G104" s="265">
        <v>72</v>
      </c>
      <c r="H104" s="48">
        <v>0.49</v>
      </c>
      <c r="I104" t="s">
        <v>1041</v>
      </c>
    </row>
    <row r="105" spans="1:10" hidden="1">
      <c r="A105" s="262">
        <v>250</v>
      </c>
      <c r="B105" s="263">
        <v>41837</v>
      </c>
      <c r="D105" t="s">
        <v>593</v>
      </c>
      <c r="E105" t="s">
        <v>594</v>
      </c>
      <c r="F105" s="47" t="s">
        <v>347</v>
      </c>
      <c r="G105" s="265">
        <v>96</v>
      </c>
      <c r="H105" s="48">
        <v>0.54999999999999993</v>
      </c>
      <c r="I105" t="s">
        <v>1045</v>
      </c>
    </row>
    <row r="106" spans="1:10" hidden="1">
      <c r="A106" s="262">
        <v>440</v>
      </c>
      <c r="B106" s="263">
        <v>41837</v>
      </c>
      <c r="D106" t="s">
        <v>1047</v>
      </c>
      <c r="E106" t="s">
        <v>1048</v>
      </c>
      <c r="F106" s="47" t="s">
        <v>347</v>
      </c>
      <c r="G106" s="265">
        <v>72</v>
      </c>
      <c r="H106" s="48">
        <v>0.49</v>
      </c>
      <c r="I106" t="s">
        <v>1055</v>
      </c>
    </row>
    <row r="107" spans="1:10" hidden="1">
      <c r="A107" s="262">
        <v>321</v>
      </c>
      <c r="B107" s="263">
        <v>41841</v>
      </c>
      <c r="D107" t="s">
        <v>1063</v>
      </c>
      <c r="E107" t="s">
        <v>956</v>
      </c>
      <c r="F107" s="47" t="s">
        <v>347</v>
      </c>
      <c r="G107" s="265">
        <v>24</v>
      </c>
      <c r="H107" s="48">
        <v>0.54999999999999993</v>
      </c>
      <c r="I107" t="s">
        <v>1068</v>
      </c>
    </row>
    <row r="108" spans="1:10" hidden="1">
      <c r="A108" s="262">
        <v>401</v>
      </c>
      <c r="B108" s="263">
        <v>41841</v>
      </c>
      <c r="D108" t="s">
        <v>296</v>
      </c>
      <c r="E108" t="s">
        <v>297</v>
      </c>
      <c r="F108" s="47" t="s">
        <v>347</v>
      </c>
      <c r="G108" s="265">
        <v>24</v>
      </c>
      <c r="H108" s="48">
        <v>0.59</v>
      </c>
      <c r="I108" t="s">
        <v>1073</v>
      </c>
      <c r="J108" t="s">
        <v>1075</v>
      </c>
    </row>
    <row r="109" spans="1:10" hidden="1">
      <c r="A109" s="262">
        <v>213</v>
      </c>
      <c r="B109" s="263">
        <v>41841</v>
      </c>
      <c r="D109" t="s">
        <v>246</v>
      </c>
      <c r="E109" t="s">
        <v>247</v>
      </c>
      <c r="F109" s="47" t="s">
        <v>347</v>
      </c>
      <c r="G109" s="265">
        <v>48</v>
      </c>
      <c r="H109" s="48">
        <v>0.49</v>
      </c>
      <c r="I109" t="s">
        <v>1077</v>
      </c>
      <c r="J109" t="s">
        <v>1079</v>
      </c>
    </row>
    <row r="110" spans="1:10" hidden="1">
      <c r="A110" s="262">
        <v>205</v>
      </c>
      <c r="B110" s="263">
        <v>41841</v>
      </c>
      <c r="D110" t="s">
        <v>931</v>
      </c>
      <c r="E110" t="s">
        <v>932</v>
      </c>
      <c r="F110" s="47" t="s">
        <v>347</v>
      </c>
      <c r="G110" s="265">
        <v>48</v>
      </c>
      <c r="H110" s="48">
        <v>0.54999999999999993</v>
      </c>
      <c r="I110" t="s">
        <v>1080</v>
      </c>
      <c r="J110" t="s">
        <v>1082</v>
      </c>
    </row>
    <row r="111" spans="1:10" hidden="1">
      <c r="A111" s="262">
        <v>230</v>
      </c>
      <c r="B111" s="263">
        <v>41843</v>
      </c>
      <c r="D111" t="s">
        <v>1089</v>
      </c>
      <c r="E111" t="s">
        <v>1090</v>
      </c>
      <c r="F111" s="47" t="s">
        <v>347</v>
      </c>
      <c r="G111" s="265">
        <v>96</v>
      </c>
      <c r="H111" s="48">
        <v>0.54999999999999993</v>
      </c>
      <c r="I111" t="s">
        <v>1095</v>
      </c>
    </row>
    <row r="112" spans="1:10" hidden="1">
      <c r="A112" s="262">
        <v>260</v>
      </c>
      <c r="B112" s="263">
        <v>41843</v>
      </c>
      <c r="D112" t="s">
        <v>817</v>
      </c>
      <c r="E112" t="s">
        <v>818</v>
      </c>
      <c r="F112" s="47" t="s">
        <v>347</v>
      </c>
      <c r="G112" s="265">
        <v>96</v>
      </c>
      <c r="H112" s="48">
        <v>0.49</v>
      </c>
      <c r="I112" t="s">
        <v>1099</v>
      </c>
    </row>
    <row r="113" spans="1:10" hidden="1">
      <c r="A113" s="262">
        <v>580</v>
      </c>
      <c r="B113" s="263">
        <v>41843</v>
      </c>
      <c r="D113" t="s">
        <v>1101</v>
      </c>
      <c r="E113" t="s">
        <v>1102</v>
      </c>
      <c r="F113" s="47" t="s">
        <v>347</v>
      </c>
      <c r="G113" s="265">
        <v>48</v>
      </c>
      <c r="H113" s="48">
        <v>0.54999999999999993</v>
      </c>
      <c r="I113" t="s">
        <v>1108</v>
      </c>
      <c r="J113" t="s">
        <v>1111</v>
      </c>
    </row>
    <row r="114" spans="1:10" hidden="1">
      <c r="A114" s="262">
        <v>510</v>
      </c>
      <c r="B114" s="263">
        <v>41843</v>
      </c>
      <c r="D114" t="s">
        <v>1084</v>
      </c>
      <c r="E114" t="s">
        <v>1083</v>
      </c>
      <c r="F114" s="47" t="s">
        <v>347</v>
      </c>
      <c r="G114" s="265">
        <v>96</v>
      </c>
      <c r="H114" s="48">
        <v>0.49</v>
      </c>
      <c r="I114" t="s">
        <v>1113</v>
      </c>
    </row>
    <row r="115" spans="1:10" hidden="1">
      <c r="A115" s="262">
        <v>270</v>
      </c>
      <c r="B115" s="263">
        <v>41848</v>
      </c>
      <c r="D115" t="s">
        <v>1140</v>
      </c>
      <c r="E115" t="s">
        <v>1124</v>
      </c>
      <c r="F115" s="47" t="s">
        <v>347</v>
      </c>
      <c r="G115" s="265">
        <v>96</v>
      </c>
      <c r="H115" s="48">
        <v>0.49</v>
      </c>
      <c r="I115" t="s">
        <v>1143</v>
      </c>
    </row>
    <row r="116" spans="1:10" hidden="1">
      <c r="A116" s="262">
        <v>303</v>
      </c>
      <c r="B116" s="263">
        <v>41848</v>
      </c>
      <c r="D116" t="s">
        <v>269</v>
      </c>
      <c r="E116" t="s">
        <v>270</v>
      </c>
      <c r="F116" s="47" t="s">
        <v>347</v>
      </c>
      <c r="G116" s="265">
        <v>96</v>
      </c>
      <c r="H116" s="48">
        <v>0.59</v>
      </c>
      <c r="I116" t="s">
        <v>1147</v>
      </c>
      <c r="J116" t="s">
        <v>1149</v>
      </c>
    </row>
    <row r="117" spans="1:10" hidden="1">
      <c r="A117" s="262">
        <v>261</v>
      </c>
      <c r="B117" s="263">
        <v>41848</v>
      </c>
      <c r="D117" t="s">
        <v>1032</v>
      </c>
      <c r="E117" t="s">
        <v>1033</v>
      </c>
      <c r="F117" s="47" t="s">
        <v>347</v>
      </c>
      <c r="G117" s="265">
        <v>48</v>
      </c>
      <c r="H117" s="48">
        <v>0.49</v>
      </c>
      <c r="I117" t="s">
        <v>1150</v>
      </c>
    </row>
    <row r="118" spans="1:10" hidden="1">
      <c r="A118" s="262">
        <v>10</v>
      </c>
      <c r="B118" s="263">
        <v>41849</v>
      </c>
      <c r="D118" t="s">
        <v>1160</v>
      </c>
      <c r="F118" s="47" t="s">
        <v>347</v>
      </c>
      <c r="G118" s="265">
        <v>480</v>
      </c>
      <c r="H118" s="48">
        <v>0.51</v>
      </c>
      <c r="I118" t="s">
        <v>1161</v>
      </c>
      <c r="J118" t="s">
        <v>1164</v>
      </c>
    </row>
    <row r="119" spans="1:10" hidden="1">
      <c r="A119" s="262">
        <v>275</v>
      </c>
      <c r="B119" s="263">
        <v>41851</v>
      </c>
      <c r="D119" t="s">
        <v>1172</v>
      </c>
      <c r="E119" t="s">
        <v>1173</v>
      </c>
      <c r="F119" s="47" t="s">
        <v>347</v>
      </c>
      <c r="G119" s="265">
        <v>96</v>
      </c>
      <c r="H119" s="48">
        <v>0.54999999999999993</v>
      </c>
      <c r="I119" t="s">
        <v>1183</v>
      </c>
    </row>
    <row r="120" spans="1:10" hidden="1">
      <c r="A120" s="262">
        <v>276</v>
      </c>
      <c r="B120" s="263">
        <v>41851</v>
      </c>
      <c r="D120" t="s">
        <v>1187</v>
      </c>
      <c r="E120" t="s">
        <v>1188</v>
      </c>
      <c r="F120" s="47" t="s">
        <v>347</v>
      </c>
      <c r="G120" s="265">
        <v>96</v>
      </c>
      <c r="H120" s="48">
        <v>0.54999999999999993</v>
      </c>
      <c r="I120" t="s">
        <v>1195</v>
      </c>
    </row>
    <row r="121" spans="1:10" hidden="1">
      <c r="A121" s="262">
        <v>277</v>
      </c>
      <c r="B121" s="263">
        <v>41851</v>
      </c>
      <c r="D121" t="s">
        <v>1199</v>
      </c>
      <c r="E121" t="s">
        <v>777</v>
      </c>
      <c r="F121" s="47" t="s">
        <v>347</v>
      </c>
      <c r="G121" s="265">
        <v>96</v>
      </c>
      <c r="H121" s="48">
        <v>0.54999999999999993</v>
      </c>
      <c r="I121" t="s">
        <v>1204</v>
      </c>
    </row>
    <row r="122" spans="1:10" hidden="1">
      <c r="A122" s="262">
        <v>306</v>
      </c>
      <c r="B122" s="263">
        <v>41851</v>
      </c>
      <c r="D122" t="s">
        <v>1210</v>
      </c>
      <c r="E122" t="s">
        <v>1209</v>
      </c>
      <c r="F122" s="47" t="s">
        <v>347</v>
      </c>
      <c r="G122" s="265">
        <v>48</v>
      </c>
      <c r="H122" s="48">
        <v>0.49</v>
      </c>
      <c r="I122" t="s">
        <v>1219</v>
      </c>
    </row>
    <row r="123" spans="1:10" hidden="1">
      <c r="A123" s="262">
        <v>411</v>
      </c>
      <c r="B123" s="263">
        <v>41851</v>
      </c>
      <c r="D123" t="s">
        <v>300</v>
      </c>
      <c r="E123" t="s">
        <v>301</v>
      </c>
      <c r="F123" s="47" t="s">
        <v>347</v>
      </c>
      <c r="G123" s="265">
        <v>48</v>
      </c>
      <c r="H123" s="48">
        <v>0.49</v>
      </c>
      <c r="I123" t="s">
        <v>1222</v>
      </c>
    </row>
  </sheetData>
  <autoFilter ref="A9:B123">
    <filterColumn colId="0">
      <filters>
        <filter val="233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3"/>
  <dimension ref="A1:R75"/>
  <sheetViews>
    <sheetView workbookViewId="0">
      <selection activeCell="A76" sqref="A76:XFD76"/>
    </sheetView>
  </sheetViews>
  <sheetFormatPr baseColWidth="10" defaultRowHeight="15"/>
  <cols>
    <col min="1" max="1" width="15.140625" style="269" customWidth="1"/>
    <col min="2" max="2" width="37.28515625" customWidth="1"/>
    <col min="3" max="3" width="33.140625" customWidth="1"/>
    <col min="4" max="4" width="37.7109375" style="31" customWidth="1"/>
    <col min="5" max="5" width="25.42578125" bestFit="1" customWidth="1"/>
    <col min="6" max="6" width="17.7109375" bestFit="1" customWidth="1"/>
    <col min="7" max="7" width="15.42578125" style="48" bestFit="1" customWidth="1"/>
    <col min="8" max="8" width="6" bestFit="1" customWidth="1"/>
    <col min="9" max="9" width="14.7109375" bestFit="1" customWidth="1"/>
    <col min="10" max="10" width="14.7109375" customWidth="1"/>
    <col min="11" max="11" width="12.85546875" style="283" bestFit="1" customWidth="1"/>
    <col min="12" max="12" width="11.42578125" style="284"/>
    <col min="13" max="13" width="26.85546875" bestFit="1" customWidth="1"/>
  </cols>
  <sheetData>
    <row r="1" spans="1:18" ht="23.25">
      <c r="A1" s="267" t="s">
        <v>74</v>
      </c>
    </row>
    <row r="6" spans="1:18" ht="21">
      <c r="A6" s="268" t="s">
        <v>75</v>
      </c>
      <c r="D6" s="32" t="s">
        <v>73</v>
      </c>
      <c r="K6" s="285" t="s">
        <v>72</v>
      </c>
    </row>
    <row r="8" spans="1:18">
      <c r="K8" s="283" t="s">
        <v>76</v>
      </c>
    </row>
    <row r="9" spans="1:18" s="33" customFormat="1" ht="15.75" thickBot="1">
      <c r="A9" s="266" t="s">
        <v>47</v>
      </c>
      <c r="B9" s="33" t="s">
        <v>60</v>
      </c>
      <c r="C9" s="33" t="s">
        <v>61</v>
      </c>
      <c r="D9" s="34" t="s">
        <v>62</v>
      </c>
      <c r="E9" s="33" t="s">
        <v>48</v>
      </c>
      <c r="F9" s="33" t="s">
        <v>64</v>
      </c>
      <c r="G9" s="254" t="s">
        <v>63</v>
      </c>
      <c r="H9" s="33" t="s">
        <v>53</v>
      </c>
      <c r="I9" s="33" t="s">
        <v>49</v>
      </c>
      <c r="J9" s="33" t="s">
        <v>68</v>
      </c>
      <c r="K9" s="286" t="s">
        <v>69</v>
      </c>
      <c r="L9" s="287" t="s">
        <v>70</v>
      </c>
      <c r="M9" s="33" t="s">
        <v>50</v>
      </c>
      <c r="N9" s="33" t="s">
        <v>71</v>
      </c>
      <c r="O9" s="33" t="s">
        <v>148</v>
      </c>
      <c r="P9" s="33" t="s">
        <v>135</v>
      </c>
      <c r="Q9" s="33" t="s">
        <v>77</v>
      </c>
      <c r="R9" s="33" t="s">
        <v>1236</v>
      </c>
    </row>
    <row r="10" spans="1:18" ht="15.75" thickTop="1">
      <c r="A10" s="269">
        <v>0</v>
      </c>
      <c r="B10" t="s">
        <v>539</v>
      </c>
      <c r="P10">
        <v>0</v>
      </c>
      <c r="Q10" s="45">
        <v>2958465</v>
      </c>
    </row>
    <row r="11" spans="1:18">
      <c r="A11" s="269">
        <v>10</v>
      </c>
      <c r="B11" t="s">
        <v>1160</v>
      </c>
      <c r="D11" s="31" t="s">
        <v>1152</v>
      </c>
      <c r="F11" t="s">
        <v>1153</v>
      </c>
      <c r="G11" s="48">
        <v>17</v>
      </c>
      <c r="H11">
        <v>85640</v>
      </c>
      <c r="I11" t="s">
        <v>1154</v>
      </c>
      <c r="K11" s="283" t="s">
        <v>1155</v>
      </c>
      <c r="L11" s="284" t="s">
        <v>1156</v>
      </c>
      <c r="M11" t="s">
        <v>1169</v>
      </c>
      <c r="N11" t="s">
        <v>1157</v>
      </c>
      <c r="P11">
        <v>10</v>
      </c>
      <c r="Q11" s="45">
        <v>2958465</v>
      </c>
    </row>
    <row r="12" spans="1:18">
      <c r="A12" s="269">
        <v>51</v>
      </c>
      <c r="B12" t="s">
        <v>195</v>
      </c>
      <c r="C12" t="s">
        <v>196</v>
      </c>
      <c r="D12" s="31" t="s">
        <v>52</v>
      </c>
      <c r="E12" t="s">
        <v>51</v>
      </c>
      <c r="F12" t="s">
        <v>65</v>
      </c>
      <c r="G12" s="48">
        <v>15</v>
      </c>
      <c r="H12">
        <v>81673</v>
      </c>
      <c r="I12" t="s">
        <v>54</v>
      </c>
      <c r="N12" t="s">
        <v>197</v>
      </c>
      <c r="P12">
        <v>0</v>
      </c>
      <c r="Q12" s="45">
        <v>2958465</v>
      </c>
    </row>
    <row r="13" spans="1:18">
      <c r="A13" s="269">
        <v>52</v>
      </c>
      <c r="B13" t="s">
        <v>392</v>
      </c>
      <c r="C13" t="s">
        <v>393</v>
      </c>
      <c r="D13" s="31" t="s">
        <v>394</v>
      </c>
      <c r="E13" t="s">
        <v>395</v>
      </c>
      <c r="F13" t="s">
        <v>393</v>
      </c>
      <c r="G13" s="48">
        <v>33</v>
      </c>
      <c r="H13">
        <v>95469</v>
      </c>
      <c r="I13" t="s">
        <v>396</v>
      </c>
      <c r="O13" t="s">
        <v>397</v>
      </c>
      <c r="P13">
        <v>0</v>
      </c>
      <c r="Q13" s="45">
        <v>2958465</v>
      </c>
    </row>
    <row r="14" spans="1:18">
      <c r="A14" s="269">
        <v>101</v>
      </c>
      <c r="B14" t="s">
        <v>212</v>
      </c>
      <c r="D14" s="31" t="s">
        <v>212</v>
      </c>
      <c r="E14" t="s">
        <v>213</v>
      </c>
      <c r="F14" t="s">
        <v>214</v>
      </c>
      <c r="G14" s="48">
        <v>9</v>
      </c>
      <c r="H14">
        <v>55252</v>
      </c>
      <c r="I14" t="s">
        <v>215</v>
      </c>
      <c r="K14" s="283" t="s">
        <v>216</v>
      </c>
      <c r="L14" s="284" t="s">
        <v>217</v>
      </c>
      <c r="N14" t="s">
        <v>1061</v>
      </c>
      <c r="O14" t="s">
        <v>1062</v>
      </c>
      <c r="P14">
        <v>0</v>
      </c>
      <c r="Q14" s="45">
        <v>2958465</v>
      </c>
    </row>
    <row r="15" spans="1:18">
      <c r="A15" s="269">
        <v>201</v>
      </c>
      <c r="B15" t="s">
        <v>228</v>
      </c>
      <c r="D15" s="31" t="s">
        <v>218</v>
      </c>
      <c r="E15" t="s">
        <v>219</v>
      </c>
      <c r="F15" t="s">
        <v>220</v>
      </c>
      <c r="G15" s="48">
        <v>77</v>
      </c>
      <c r="H15">
        <v>81673</v>
      </c>
      <c r="I15" t="s">
        <v>54</v>
      </c>
      <c r="L15" s="284" t="s">
        <v>221</v>
      </c>
      <c r="N15" t="s">
        <v>197</v>
      </c>
      <c r="P15">
        <v>0</v>
      </c>
      <c r="Q15" s="45">
        <v>2958465</v>
      </c>
    </row>
    <row r="16" spans="1:18">
      <c r="A16" s="269">
        <v>202</v>
      </c>
      <c r="B16" t="s">
        <v>222</v>
      </c>
      <c r="C16" t="s">
        <v>223</v>
      </c>
      <c r="D16" s="31" t="s">
        <v>224</v>
      </c>
      <c r="E16" t="s">
        <v>225</v>
      </c>
      <c r="F16" t="s">
        <v>226</v>
      </c>
      <c r="G16" s="48">
        <v>272</v>
      </c>
      <c r="H16">
        <v>81825</v>
      </c>
      <c r="I16" t="s">
        <v>54</v>
      </c>
      <c r="N16" t="s">
        <v>227</v>
      </c>
      <c r="P16">
        <v>2</v>
      </c>
      <c r="Q16" s="45">
        <v>2958465</v>
      </c>
    </row>
    <row r="17" spans="1:17">
      <c r="A17" s="269">
        <v>203</v>
      </c>
      <c r="B17" t="s">
        <v>489</v>
      </c>
      <c r="C17" t="s">
        <v>490</v>
      </c>
      <c r="D17" s="31" t="s">
        <v>491</v>
      </c>
      <c r="E17" t="s">
        <v>492</v>
      </c>
      <c r="F17" t="s">
        <v>493</v>
      </c>
      <c r="G17" s="48">
        <v>38</v>
      </c>
      <c r="H17">
        <v>81543</v>
      </c>
      <c r="I17" t="s">
        <v>54</v>
      </c>
      <c r="L17" s="284" t="s">
        <v>494</v>
      </c>
      <c r="N17" t="s">
        <v>495</v>
      </c>
      <c r="O17" t="s">
        <v>496</v>
      </c>
      <c r="P17">
        <v>7.5</v>
      </c>
      <c r="Q17" s="45">
        <v>2958465</v>
      </c>
    </row>
    <row r="18" spans="1:17">
      <c r="A18" s="269">
        <v>204</v>
      </c>
      <c r="B18" t="s">
        <v>868</v>
      </c>
      <c r="C18" t="s">
        <v>869</v>
      </c>
      <c r="D18" s="31" t="s">
        <v>870</v>
      </c>
      <c r="E18" t="s">
        <v>871</v>
      </c>
      <c r="F18" t="s">
        <v>220</v>
      </c>
      <c r="G18" s="48">
        <v>151</v>
      </c>
      <c r="H18">
        <v>81825</v>
      </c>
      <c r="I18" t="s">
        <v>54</v>
      </c>
      <c r="K18" s="283">
        <v>8942002663</v>
      </c>
      <c r="L18" s="284" t="s">
        <v>902</v>
      </c>
      <c r="N18" t="s">
        <v>872</v>
      </c>
      <c r="O18" t="s">
        <v>873</v>
      </c>
      <c r="P18">
        <v>1</v>
      </c>
      <c r="Q18" s="45">
        <v>2958465</v>
      </c>
    </row>
    <row r="19" spans="1:17">
      <c r="A19" s="269">
        <v>205</v>
      </c>
      <c r="B19" t="s">
        <v>931</v>
      </c>
      <c r="C19" t="s">
        <v>932</v>
      </c>
      <c r="E19" t="s">
        <v>933</v>
      </c>
      <c r="F19" t="s">
        <v>895</v>
      </c>
      <c r="G19" s="48">
        <v>96</v>
      </c>
      <c r="H19">
        <v>81675</v>
      </c>
      <c r="I19" t="s">
        <v>54</v>
      </c>
      <c r="K19" s="283" t="s">
        <v>923</v>
      </c>
      <c r="N19" t="s">
        <v>934</v>
      </c>
      <c r="O19" t="s">
        <v>730</v>
      </c>
      <c r="P19">
        <v>5</v>
      </c>
      <c r="Q19" s="45">
        <v>2958465</v>
      </c>
    </row>
    <row r="20" spans="1:17">
      <c r="A20" s="269">
        <v>211</v>
      </c>
      <c r="B20" t="s">
        <v>234</v>
      </c>
      <c r="C20" t="s">
        <v>235</v>
      </c>
      <c r="D20" s="31" t="s">
        <v>236</v>
      </c>
      <c r="E20" t="s">
        <v>235</v>
      </c>
      <c r="F20" t="s">
        <v>237</v>
      </c>
      <c r="G20" s="48">
        <v>23</v>
      </c>
      <c r="H20">
        <v>81829</v>
      </c>
      <c r="I20" t="s">
        <v>238</v>
      </c>
      <c r="K20" s="283" t="s">
        <v>239</v>
      </c>
      <c r="L20" s="284" t="s">
        <v>258</v>
      </c>
      <c r="N20" t="s">
        <v>645</v>
      </c>
      <c r="P20">
        <v>6</v>
      </c>
      <c r="Q20" s="45">
        <v>2958465</v>
      </c>
    </row>
    <row r="21" spans="1:17">
      <c r="A21" s="269">
        <v>212</v>
      </c>
      <c r="B21" t="s">
        <v>245</v>
      </c>
      <c r="C21" t="s">
        <v>240</v>
      </c>
      <c r="D21" s="31" t="s">
        <v>241</v>
      </c>
      <c r="E21" t="s">
        <v>240</v>
      </c>
      <c r="F21" t="s">
        <v>242</v>
      </c>
      <c r="G21" s="48">
        <v>308</v>
      </c>
      <c r="H21">
        <v>81825</v>
      </c>
      <c r="I21" t="s">
        <v>54</v>
      </c>
      <c r="K21" s="283" t="s">
        <v>243</v>
      </c>
      <c r="L21" s="284" t="s">
        <v>1231</v>
      </c>
      <c r="N21" t="s">
        <v>244</v>
      </c>
      <c r="P21">
        <v>2.5</v>
      </c>
      <c r="Q21" s="45">
        <v>2958465</v>
      </c>
    </row>
    <row r="22" spans="1:17">
      <c r="A22" s="269">
        <v>213</v>
      </c>
      <c r="B22" t="s">
        <v>246</v>
      </c>
      <c r="C22" t="s">
        <v>247</v>
      </c>
      <c r="D22" s="31" t="s">
        <v>248</v>
      </c>
      <c r="E22" t="s">
        <v>249</v>
      </c>
      <c r="F22" t="s">
        <v>250</v>
      </c>
      <c r="G22" s="48">
        <v>59</v>
      </c>
      <c r="H22">
        <v>81673</v>
      </c>
      <c r="I22" t="s">
        <v>54</v>
      </c>
      <c r="L22" s="284" t="s">
        <v>251</v>
      </c>
      <c r="N22" t="s">
        <v>1076</v>
      </c>
      <c r="O22">
        <v>15736521196</v>
      </c>
      <c r="P22">
        <v>2.5</v>
      </c>
      <c r="Q22" s="45">
        <v>2958465</v>
      </c>
    </row>
    <row r="23" spans="1:17">
      <c r="A23" s="269">
        <v>214</v>
      </c>
      <c r="B23" t="s">
        <v>741</v>
      </c>
      <c r="C23" t="s">
        <v>742</v>
      </c>
      <c r="D23" s="31" t="s">
        <v>743</v>
      </c>
      <c r="E23" t="s">
        <v>744</v>
      </c>
      <c r="F23" t="s">
        <v>745</v>
      </c>
      <c r="G23" s="48">
        <v>18</v>
      </c>
      <c r="H23">
        <v>81739</v>
      </c>
      <c r="I23" t="s">
        <v>54</v>
      </c>
      <c r="K23" s="283" t="s">
        <v>903</v>
      </c>
      <c r="L23" s="284" t="s">
        <v>907</v>
      </c>
      <c r="N23" t="s">
        <v>746</v>
      </c>
      <c r="O23" t="s">
        <v>747</v>
      </c>
      <c r="P23">
        <v>4.5</v>
      </c>
      <c r="Q23" s="45">
        <v>2958465</v>
      </c>
    </row>
    <row r="24" spans="1:17">
      <c r="A24" s="269">
        <v>215</v>
      </c>
      <c r="B24" t="s">
        <v>805</v>
      </c>
      <c r="C24" t="s">
        <v>806</v>
      </c>
      <c r="D24" s="31" t="s">
        <v>807</v>
      </c>
      <c r="E24" t="s">
        <v>806</v>
      </c>
      <c r="F24" t="s">
        <v>808</v>
      </c>
      <c r="G24" s="48">
        <v>36</v>
      </c>
      <c r="H24">
        <v>81673</v>
      </c>
      <c r="I24" t="s">
        <v>54</v>
      </c>
      <c r="K24" s="283" t="s">
        <v>904</v>
      </c>
      <c r="L24" s="284" t="s">
        <v>906</v>
      </c>
      <c r="N24" t="s">
        <v>809</v>
      </c>
      <c r="O24" t="s">
        <v>810</v>
      </c>
      <c r="P24">
        <v>2</v>
      </c>
      <c r="Q24" s="45">
        <v>2958465</v>
      </c>
    </row>
    <row r="25" spans="1:17">
      <c r="A25" s="269">
        <v>230</v>
      </c>
      <c r="B25" t="s">
        <v>1089</v>
      </c>
      <c r="C25" t="s">
        <v>1090</v>
      </c>
      <c r="D25" s="31" t="s">
        <v>1233</v>
      </c>
      <c r="F25" t="s">
        <v>1091</v>
      </c>
      <c r="G25" s="48">
        <v>11</v>
      </c>
      <c r="H25">
        <v>81737</v>
      </c>
      <c r="I25" t="s">
        <v>54</v>
      </c>
      <c r="K25" s="283" t="s">
        <v>1092</v>
      </c>
      <c r="N25" t="s">
        <v>1168</v>
      </c>
      <c r="O25" t="s">
        <v>1167</v>
      </c>
      <c r="P25">
        <v>5</v>
      </c>
      <c r="Q25" s="45">
        <v>2958465</v>
      </c>
    </row>
    <row r="26" spans="1:17">
      <c r="A26" s="269">
        <v>250</v>
      </c>
      <c r="B26" t="s">
        <v>593</v>
      </c>
      <c r="C26" t="s">
        <v>594</v>
      </c>
      <c r="D26" s="31" t="s">
        <v>593</v>
      </c>
      <c r="E26" t="s">
        <v>595</v>
      </c>
      <c r="F26" t="s">
        <v>596</v>
      </c>
      <c r="G26" s="48">
        <v>15</v>
      </c>
      <c r="H26">
        <v>81829</v>
      </c>
      <c r="I26" t="s">
        <v>54</v>
      </c>
      <c r="K26" s="283" t="s">
        <v>597</v>
      </c>
      <c r="N26" t="s">
        <v>598</v>
      </c>
      <c r="O26" t="s">
        <v>681</v>
      </c>
      <c r="P26">
        <v>5</v>
      </c>
      <c r="Q26" s="45">
        <v>2958465</v>
      </c>
    </row>
    <row r="27" spans="1:17">
      <c r="A27" s="269">
        <v>260</v>
      </c>
      <c r="B27" t="s">
        <v>817</v>
      </c>
      <c r="C27" t="s">
        <v>818</v>
      </c>
      <c r="D27" s="31" t="s">
        <v>819</v>
      </c>
      <c r="E27" t="s">
        <v>818</v>
      </c>
      <c r="F27" t="s">
        <v>820</v>
      </c>
      <c r="G27" s="48" t="s">
        <v>821</v>
      </c>
      <c r="H27">
        <v>81673</v>
      </c>
      <c r="I27" t="s">
        <v>54</v>
      </c>
      <c r="L27" s="284" t="s">
        <v>905</v>
      </c>
      <c r="N27" t="s">
        <v>847</v>
      </c>
      <c r="O27" t="s">
        <v>848</v>
      </c>
      <c r="P27">
        <v>2.5</v>
      </c>
      <c r="Q27" s="45">
        <v>2958465</v>
      </c>
    </row>
    <row r="28" spans="1:17">
      <c r="A28" s="269">
        <v>261</v>
      </c>
      <c r="B28" t="s">
        <v>1032</v>
      </c>
      <c r="C28" t="s">
        <v>1033</v>
      </c>
      <c r="D28" s="31" t="s">
        <v>1034</v>
      </c>
      <c r="E28" t="s">
        <v>1035</v>
      </c>
      <c r="F28" t="s">
        <v>1036</v>
      </c>
      <c r="G28" s="48">
        <v>23</v>
      </c>
      <c r="H28">
        <v>81829</v>
      </c>
      <c r="I28" t="s">
        <v>54</v>
      </c>
      <c r="K28" s="283" t="s">
        <v>1037</v>
      </c>
      <c r="N28" t="s">
        <v>730</v>
      </c>
      <c r="P28">
        <v>6</v>
      </c>
      <c r="Q28" s="45">
        <v>2958465</v>
      </c>
    </row>
    <row r="29" spans="1:17">
      <c r="A29" s="269">
        <v>270</v>
      </c>
      <c r="B29" t="s">
        <v>1140</v>
      </c>
      <c r="C29" t="s">
        <v>1124</v>
      </c>
      <c r="D29" s="31" t="s">
        <v>1141</v>
      </c>
      <c r="E29" t="s">
        <v>1142</v>
      </c>
      <c r="F29" t="s">
        <v>1125</v>
      </c>
      <c r="G29" s="48">
        <v>33</v>
      </c>
      <c r="H29">
        <v>81673</v>
      </c>
      <c r="I29" t="s">
        <v>54</v>
      </c>
      <c r="K29" s="283" t="s">
        <v>1126</v>
      </c>
      <c r="N29" t="s">
        <v>730</v>
      </c>
      <c r="P29">
        <v>2.2999999999999998</v>
      </c>
      <c r="Q29" s="45">
        <v>2958465</v>
      </c>
    </row>
    <row r="30" spans="1:17">
      <c r="A30" s="269">
        <v>275</v>
      </c>
      <c r="B30" t="s">
        <v>1172</v>
      </c>
      <c r="C30" t="s">
        <v>1173</v>
      </c>
      <c r="D30" s="31" t="s">
        <v>1174</v>
      </c>
      <c r="F30" t="s">
        <v>1175</v>
      </c>
      <c r="G30" s="48">
        <v>117</v>
      </c>
      <c r="H30">
        <v>80937</v>
      </c>
      <c r="I30" t="s">
        <v>54</v>
      </c>
      <c r="K30" s="283" t="s">
        <v>1176</v>
      </c>
      <c r="L30" s="284" t="s">
        <v>1177</v>
      </c>
      <c r="N30" t="s">
        <v>1178</v>
      </c>
      <c r="O30" t="s">
        <v>1179</v>
      </c>
      <c r="P30">
        <v>14.5</v>
      </c>
      <c r="Q30" s="45">
        <v>2958465</v>
      </c>
    </row>
    <row r="31" spans="1:17">
      <c r="A31" s="269">
        <v>276</v>
      </c>
      <c r="B31" t="s">
        <v>1187</v>
      </c>
      <c r="C31" t="s">
        <v>1188</v>
      </c>
      <c r="D31" s="31" t="s">
        <v>1174</v>
      </c>
      <c r="F31" t="s">
        <v>1189</v>
      </c>
      <c r="G31" s="48">
        <v>40</v>
      </c>
      <c r="H31">
        <v>80336</v>
      </c>
      <c r="I31" t="s">
        <v>54</v>
      </c>
      <c r="J31" t="s">
        <v>1228</v>
      </c>
      <c r="K31" s="283" t="s">
        <v>1190</v>
      </c>
      <c r="L31" s="284" t="s">
        <v>1191</v>
      </c>
      <c r="N31" t="s">
        <v>1229</v>
      </c>
      <c r="O31" t="s">
        <v>1230</v>
      </c>
      <c r="P31">
        <v>8.5</v>
      </c>
      <c r="Q31" s="45">
        <v>2958465</v>
      </c>
    </row>
    <row r="32" spans="1:17">
      <c r="A32" s="269">
        <v>277</v>
      </c>
      <c r="B32" t="s">
        <v>1199</v>
      </c>
      <c r="C32" t="s">
        <v>777</v>
      </c>
      <c r="D32" s="31" t="s">
        <v>1200</v>
      </c>
      <c r="F32" t="s">
        <v>778</v>
      </c>
      <c r="G32" s="48">
        <v>4</v>
      </c>
      <c r="H32">
        <v>81373</v>
      </c>
      <c r="I32" t="s">
        <v>54</v>
      </c>
      <c r="K32" s="283" t="s">
        <v>915</v>
      </c>
      <c r="L32" s="284" t="s">
        <v>1201</v>
      </c>
      <c r="N32" t="s">
        <v>1202</v>
      </c>
      <c r="O32" t="s">
        <v>1203</v>
      </c>
      <c r="P32">
        <v>4.5</v>
      </c>
      <c r="Q32" s="45">
        <v>2958465</v>
      </c>
    </row>
    <row r="33" spans="1:17">
      <c r="A33" s="269">
        <v>301</v>
      </c>
      <c r="B33" t="s">
        <v>259</v>
      </c>
      <c r="D33" s="31" t="s">
        <v>260</v>
      </c>
      <c r="E33" t="s">
        <v>261</v>
      </c>
      <c r="F33" t="s">
        <v>220</v>
      </c>
      <c r="G33" s="48">
        <v>88</v>
      </c>
      <c r="H33">
        <v>81673</v>
      </c>
      <c r="I33" t="s">
        <v>54</v>
      </c>
      <c r="K33" s="283" t="s">
        <v>262</v>
      </c>
      <c r="L33" s="284" t="s">
        <v>263</v>
      </c>
      <c r="N33" t="s">
        <v>244</v>
      </c>
      <c r="P33">
        <v>0</v>
      </c>
      <c r="Q33" s="45">
        <v>2958465</v>
      </c>
    </row>
    <row r="34" spans="1:17">
      <c r="A34" s="269">
        <v>302</v>
      </c>
      <c r="B34" t="s">
        <v>291</v>
      </c>
      <c r="C34" t="s">
        <v>292</v>
      </c>
      <c r="D34" s="31" t="s">
        <v>293</v>
      </c>
      <c r="E34" t="s">
        <v>292</v>
      </c>
      <c r="F34" t="s">
        <v>226</v>
      </c>
      <c r="G34" s="48">
        <v>252</v>
      </c>
      <c r="H34">
        <v>81825</v>
      </c>
      <c r="I34" t="s">
        <v>54</v>
      </c>
      <c r="K34" s="283" t="s">
        <v>294</v>
      </c>
      <c r="L34" s="284" t="s">
        <v>295</v>
      </c>
      <c r="N34" t="s">
        <v>730</v>
      </c>
      <c r="P34">
        <v>2</v>
      </c>
      <c r="Q34" s="45">
        <v>2958465</v>
      </c>
    </row>
    <row r="35" spans="1:17">
      <c r="A35" s="269">
        <v>303</v>
      </c>
      <c r="B35" t="s">
        <v>269</v>
      </c>
      <c r="C35" t="s">
        <v>270</v>
      </c>
      <c r="D35" s="31" t="s">
        <v>270</v>
      </c>
      <c r="E35" t="s">
        <v>271</v>
      </c>
      <c r="F35" t="s">
        <v>272</v>
      </c>
      <c r="G35" s="48">
        <v>11</v>
      </c>
      <c r="H35">
        <v>81829</v>
      </c>
      <c r="I35" t="s">
        <v>54</v>
      </c>
      <c r="K35" s="283" t="s">
        <v>273</v>
      </c>
      <c r="L35" s="284" t="s">
        <v>274</v>
      </c>
      <c r="N35" t="s">
        <v>244</v>
      </c>
      <c r="P35">
        <v>6.5</v>
      </c>
      <c r="Q35" s="45">
        <v>2958465</v>
      </c>
    </row>
    <row r="36" spans="1:17">
      <c r="A36" s="269">
        <v>304</v>
      </c>
      <c r="B36" t="s">
        <v>1065</v>
      </c>
      <c r="C36" t="s">
        <v>630</v>
      </c>
      <c r="D36" s="31" t="s">
        <v>631</v>
      </c>
      <c r="E36" t="s">
        <v>632</v>
      </c>
      <c r="F36" t="s">
        <v>242</v>
      </c>
      <c r="G36" s="48">
        <v>259</v>
      </c>
      <c r="H36">
        <v>81825</v>
      </c>
      <c r="I36" t="s">
        <v>54</v>
      </c>
      <c r="K36" s="283" t="s">
        <v>633</v>
      </c>
      <c r="L36" s="284" t="s">
        <v>1234</v>
      </c>
      <c r="O36" t="s">
        <v>319</v>
      </c>
      <c r="P36">
        <v>2</v>
      </c>
      <c r="Q36" s="45">
        <v>2958465</v>
      </c>
    </row>
    <row r="37" spans="1:17">
      <c r="A37" s="269">
        <v>305</v>
      </c>
      <c r="B37" t="s">
        <v>853</v>
      </c>
      <c r="C37" t="s">
        <v>854</v>
      </c>
      <c r="D37" s="31" t="s">
        <v>855</v>
      </c>
      <c r="E37" t="s">
        <v>856</v>
      </c>
      <c r="F37" t="s">
        <v>857</v>
      </c>
      <c r="H37">
        <v>81671</v>
      </c>
      <c r="I37" t="s">
        <v>54</v>
      </c>
      <c r="L37" s="284" t="s">
        <v>908</v>
      </c>
      <c r="N37" t="s">
        <v>858</v>
      </c>
      <c r="O37" t="s">
        <v>730</v>
      </c>
      <c r="P37">
        <v>2.8</v>
      </c>
      <c r="Q37" s="45">
        <v>2958465</v>
      </c>
    </row>
    <row r="38" spans="1:17">
      <c r="A38" s="269">
        <v>306</v>
      </c>
      <c r="B38" t="s">
        <v>1210</v>
      </c>
      <c r="C38" t="s">
        <v>1209</v>
      </c>
      <c r="D38" s="31" t="s">
        <v>1211</v>
      </c>
      <c r="F38" t="s">
        <v>1212</v>
      </c>
      <c r="G38" s="48">
        <v>27</v>
      </c>
      <c r="H38">
        <v>81671</v>
      </c>
      <c r="I38" t="s">
        <v>54</v>
      </c>
      <c r="K38" s="283" t="s">
        <v>1213</v>
      </c>
      <c r="L38" s="284" t="s">
        <v>1214</v>
      </c>
      <c r="N38" t="s">
        <v>1215</v>
      </c>
      <c r="P38">
        <v>3</v>
      </c>
      <c r="Q38" s="45">
        <v>2958465</v>
      </c>
    </row>
    <row r="39" spans="1:17">
      <c r="A39" s="269">
        <v>307</v>
      </c>
      <c r="B39" t="s">
        <v>1066</v>
      </c>
      <c r="C39" t="s">
        <v>991</v>
      </c>
      <c r="D39" s="31" t="s">
        <v>992</v>
      </c>
      <c r="E39" t="s">
        <v>991</v>
      </c>
      <c r="F39" t="s">
        <v>220</v>
      </c>
      <c r="G39" s="48">
        <v>34</v>
      </c>
      <c r="H39">
        <v>81673</v>
      </c>
      <c r="I39" t="s">
        <v>54</v>
      </c>
      <c r="K39" s="283" t="s">
        <v>993</v>
      </c>
      <c r="N39" t="s">
        <v>994</v>
      </c>
      <c r="P39">
        <v>1</v>
      </c>
      <c r="Q39" s="45">
        <v>2958465</v>
      </c>
    </row>
    <row r="40" spans="1:17">
      <c r="A40" s="269">
        <v>311</v>
      </c>
      <c r="B40" t="s">
        <v>264</v>
      </c>
      <c r="C40" t="s">
        <v>265</v>
      </c>
      <c r="D40" s="31" t="s">
        <v>266</v>
      </c>
      <c r="E40" t="s">
        <v>267</v>
      </c>
      <c r="F40" t="s">
        <v>268</v>
      </c>
      <c r="G40" s="48">
        <v>75</v>
      </c>
      <c r="H40">
        <v>81673</v>
      </c>
      <c r="I40" t="s">
        <v>54</v>
      </c>
      <c r="N40" t="s">
        <v>252</v>
      </c>
      <c r="P40">
        <v>2</v>
      </c>
      <c r="Q40" s="45">
        <v>2958465</v>
      </c>
    </row>
    <row r="41" spans="1:17">
      <c r="A41" s="269">
        <v>312</v>
      </c>
      <c r="B41" t="s">
        <v>275</v>
      </c>
      <c r="C41" t="s">
        <v>657</v>
      </c>
      <c r="D41" s="31" t="s">
        <v>277</v>
      </c>
      <c r="E41" t="s">
        <v>278</v>
      </c>
      <c r="F41" t="s">
        <v>658</v>
      </c>
      <c r="G41" s="48">
        <v>53</v>
      </c>
      <c r="H41">
        <v>81829</v>
      </c>
      <c r="I41" t="s">
        <v>54</v>
      </c>
      <c r="N41" t="s">
        <v>279</v>
      </c>
      <c r="P41">
        <v>2</v>
      </c>
      <c r="Q41" s="45">
        <v>2958465</v>
      </c>
    </row>
    <row r="42" spans="1:17">
      <c r="A42" s="269">
        <v>313</v>
      </c>
      <c r="B42" t="s">
        <v>280</v>
      </c>
      <c r="C42" t="s">
        <v>281</v>
      </c>
      <c r="D42" s="31" t="s">
        <v>282</v>
      </c>
      <c r="E42" t="s">
        <v>283</v>
      </c>
      <c r="F42" t="s">
        <v>226</v>
      </c>
      <c r="G42" s="48">
        <v>58</v>
      </c>
      <c r="H42">
        <v>81673</v>
      </c>
      <c r="I42" t="s">
        <v>54</v>
      </c>
      <c r="K42" s="283" t="s">
        <v>284</v>
      </c>
      <c r="N42" t="s">
        <v>285</v>
      </c>
      <c r="P42">
        <v>1.2</v>
      </c>
      <c r="Q42" s="45">
        <v>2958465</v>
      </c>
    </row>
    <row r="43" spans="1:17">
      <c r="A43" s="269">
        <v>314</v>
      </c>
      <c r="B43" t="s">
        <v>965</v>
      </c>
      <c r="C43" t="s">
        <v>896</v>
      </c>
      <c r="D43" s="31" t="s">
        <v>897</v>
      </c>
      <c r="E43" t="s">
        <v>896</v>
      </c>
      <c r="F43" t="s">
        <v>895</v>
      </c>
      <c r="G43" s="48">
        <v>130</v>
      </c>
      <c r="H43">
        <v>81675</v>
      </c>
      <c r="I43" t="s">
        <v>54</v>
      </c>
      <c r="K43" s="283" t="s">
        <v>924</v>
      </c>
      <c r="L43" s="284" t="s">
        <v>925</v>
      </c>
      <c r="N43" t="s">
        <v>873</v>
      </c>
      <c r="P43">
        <v>4</v>
      </c>
      <c r="Q43" s="45">
        <v>2958465</v>
      </c>
    </row>
    <row r="44" spans="1:17">
      <c r="A44" s="269">
        <v>315</v>
      </c>
      <c r="B44" t="s">
        <v>1067</v>
      </c>
      <c r="C44" t="s">
        <v>725</v>
      </c>
      <c r="D44" s="31" t="s">
        <v>726</v>
      </c>
      <c r="E44" t="s">
        <v>727</v>
      </c>
      <c r="F44" t="s">
        <v>728</v>
      </c>
      <c r="G44" s="48" t="s">
        <v>729</v>
      </c>
      <c r="H44">
        <v>81829</v>
      </c>
      <c r="I44" t="s">
        <v>54</v>
      </c>
      <c r="K44" s="283" t="s">
        <v>909</v>
      </c>
      <c r="N44" t="s">
        <v>730</v>
      </c>
      <c r="O44" t="s">
        <v>731</v>
      </c>
      <c r="P44">
        <v>5</v>
      </c>
      <c r="Q44" s="45">
        <v>2958465</v>
      </c>
    </row>
    <row r="45" spans="1:17">
      <c r="A45" s="269">
        <v>320</v>
      </c>
      <c r="B45" t="s">
        <v>1002</v>
      </c>
      <c r="C45" t="s">
        <v>1003</v>
      </c>
      <c r="D45" s="31" t="s">
        <v>1004</v>
      </c>
      <c r="F45" t="s">
        <v>1005</v>
      </c>
      <c r="G45" s="48">
        <v>1</v>
      </c>
      <c r="H45">
        <v>81673</v>
      </c>
      <c r="I45" t="s">
        <v>54</v>
      </c>
      <c r="L45" s="284" t="s">
        <v>1006</v>
      </c>
      <c r="N45" t="s">
        <v>1007</v>
      </c>
      <c r="O45" t="s">
        <v>1008</v>
      </c>
      <c r="P45">
        <v>1.5</v>
      </c>
      <c r="Q45" s="45">
        <v>2958465</v>
      </c>
    </row>
    <row r="46" spans="1:17">
      <c r="A46" s="269">
        <v>321</v>
      </c>
      <c r="B46" t="s">
        <v>1063</v>
      </c>
      <c r="C46" t="s">
        <v>956</v>
      </c>
      <c r="D46" s="31" t="s">
        <v>957</v>
      </c>
      <c r="E46" t="s">
        <v>958</v>
      </c>
      <c r="F46" t="s">
        <v>959</v>
      </c>
      <c r="G46" s="48">
        <v>44</v>
      </c>
      <c r="H46">
        <v>81673</v>
      </c>
      <c r="I46" t="s">
        <v>54</v>
      </c>
      <c r="K46" s="283" t="s">
        <v>960</v>
      </c>
      <c r="N46" t="s">
        <v>1064</v>
      </c>
      <c r="P46">
        <v>0.7</v>
      </c>
      <c r="Q46" s="45">
        <v>2958465</v>
      </c>
    </row>
    <row r="47" spans="1:17">
      <c r="A47" s="269">
        <v>401</v>
      </c>
      <c r="B47" t="s">
        <v>296</v>
      </c>
      <c r="C47" t="s">
        <v>297</v>
      </c>
      <c r="D47" s="31" t="s">
        <v>298</v>
      </c>
      <c r="F47" t="s">
        <v>220</v>
      </c>
      <c r="G47" s="48">
        <v>128</v>
      </c>
      <c r="H47">
        <v>81673</v>
      </c>
      <c r="I47" t="s">
        <v>54</v>
      </c>
      <c r="K47" s="283" t="s">
        <v>299</v>
      </c>
      <c r="N47" t="s">
        <v>1072</v>
      </c>
      <c r="P47">
        <v>0.5</v>
      </c>
      <c r="Q47" s="45">
        <v>2958465</v>
      </c>
    </row>
    <row r="48" spans="1:17">
      <c r="A48" s="269">
        <v>411</v>
      </c>
      <c r="B48" t="s">
        <v>300</v>
      </c>
      <c r="C48" t="s">
        <v>301</v>
      </c>
      <c r="D48" s="31" t="s">
        <v>302</v>
      </c>
      <c r="E48" t="s">
        <v>303</v>
      </c>
      <c r="F48" t="s">
        <v>304</v>
      </c>
      <c r="G48" s="48">
        <v>360</v>
      </c>
      <c r="H48">
        <v>81829</v>
      </c>
      <c r="I48" t="s">
        <v>54</v>
      </c>
      <c r="K48" s="283" t="s">
        <v>305</v>
      </c>
      <c r="N48" t="s">
        <v>244</v>
      </c>
      <c r="O48" t="s">
        <v>682</v>
      </c>
      <c r="P48">
        <v>4.5</v>
      </c>
      <c r="Q48" s="45">
        <v>2958465</v>
      </c>
    </row>
    <row r="49" spans="1:17">
      <c r="A49" s="269">
        <v>440</v>
      </c>
      <c r="B49" t="s">
        <v>1047</v>
      </c>
      <c r="C49" t="s">
        <v>1048</v>
      </c>
      <c r="D49" s="31" t="s">
        <v>1049</v>
      </c>
      <c r="E49" t="s">
        <v>1050</v>
      </c>
      <c r="F49" t="s">
        <v>1051</v>
      </c>
      <c r="G49" s="48">
        <v>16</v>
      </c>
      <c r="H49">
        <v>81825</v>
      </c>
      <c r="I49" t="s">
        <v>54</v>
      </c>
      <c r="L49" s="284" t="s">
        <v>918</v>
      </c>
      <c r="N49" t="s">
        <v>1052</v>
      </c>
      <c r="O49" t="s">
        <v>730</v>
      </c>
      <c r="P49">
        <v>4</v>
      </c>
      <c r="Q49" s="45">
        <v>2958465</v>
      </c>
    </row>
    <row r="50" spans="1:17">
      <c r="A50" s="269">
        <v>450</v>
      </c>
      <c r="B50" t="s">
        <v>767</v>
      </c>
      <c r="C50" t="s">
        <v>768</v>
      </c>
      <c r="D50" s="31" t="s">
        <v>769</v>
      </c>
      <c r="E50" t="s">
        <v>770</v>
      </c>
      <c r="F50" t="s">
        <v>771</v>
      </c>
      <c r="G50" s="48">
        <v>30</v>
      </c>
      <c r="H50">
        <v>80799</v>
      </c>
      <c r="I50" t="s">
        <v>54</v>
      </c>
      <c r="K50" s="283" t="s">
        <v>910</v>
      </c>
      <c r="O50" t="s">
        <v>730</v>
      </c>
      <c r="P50">
        <v>8</v>
      </c>
      <c r="Q50" s="45">
        <v>2958465</v>
      </c>
    </row>
    <row r="51" spans="1:17">
      <c r="A51" s="269">
        <v>501</v>
      </c>
      <c r="B51" t="s">
        <v>254</v>
      </c>
      <c r="C51" t="s">
        <v>255</v>
      </c>
      <c r="D51" s="31" t="s">
        <v>254</v>
      </c>
      <c r="E51" t="s">
        <v>256</v>
      </c>
      <c r="F51" t="s">
        <v>226</v>
      </c>
      <c r="G51" s="48">
        <v>298</v>
      </c>
      <c r="H51">
        <v>81825</v>
      </c>
      <c r="I51" t="s">
        <v>54</v>
      </c>
      <c r="K51" s="283" t="s">
        <v>257</v>
      </c>
      <c r="N51" t="s">
        <v>644</v>
      </c>
      <c r="P51">
        <v>2.5</v>
      </c>
      <c r="Q51" s="45">
        <v>2958465</v>
      </c>
    </row>
    <row r="52" spans="1:17">
      <c r="A52" s="269">
        <v>502</v>
      </c>
      <c r="B52" t="s">
        <v>306</v>
      </c>
      <c r="C52" t="s">
        <v>307</v>
      </c>
      <c r="D52" s="31" t="s">
        <v>306</v>
      </c>
      <c r="E52" t="s">
        <v>310</v>
      </c>
      <c r="F52" t="s">
        <v>308</v>
      </c>
      <c r="G52" s="48">
        <v>2</v>
      </c>
      <c r="H52">
        <v>81673</v>
      </c>
      <c r="I52" t="s">
        <v>54</v>
      </c>
      <c r="K52" s="283" t="s">
        <v>309</v>
      </c>
      <c r="N52" t="s">
        <v>610</v>
      </c>
      <c r="P52">
        <v>0.5</v>
      </c>
      <c r="Q52" s="45">
        <v>2958465</v>
      </c>
    </row>
    <row r="53" spans="1:17">
      <c r="A53" s="269">
        <v>503</v>
      </c>
      <c r="B53" t="s">
        <v>311</v>
      </c>
      <c r="C53" t="s">
        <v>312</v>
      </c>
      <c r="D53" s="31" t="s">
        <v>313</v>
      </c>
      <c r="E53" t="s">
        <v>314</v>
      </c>
      <c r="F53" t="s">
        <v>315</v>
      </c>
      <c r="G53" s="48">
        <v>2</v>
      </c>
      <c r="H53">
        <v>81673</v>
      </c>
      <c r="I53" t="s">
        <v>54</v>
      </c>
      <c r="K53" s="283" t="s">
        <v>316</v>
      </c>
      <c r="P53">
        <v>0.5</v>
      </c>
      <c r="Q53" s="45">
        <v>2958465</v>
      </c>
    </row>
    <row r="54" spans="1:17">
      <c r="A54" s="269">
        <v>504</v>
      </c>
      <c r="B54" t="s">
        <v>611</v>
      </c>
      <c r="C54" t="s">
        <v>612</v>
      </c>
      <c r="D54" s="31" t="s">
        <v>611</v>
      </c>
      <c r="E54" t="s">
        <v>310</v>
      </c>
      <c r="F54" t="s">
        <v>613</v>
      </c>
      <c r="G54" s="48">
        <v>82</v>
      </c>
      <c r="H54">
        <v>80807</v>
      </c>
      <c r="I54" t="s">
        <v>54</v>
      </c>
      <c r="K54" s="283" t="s">
        <v>614</v>
      </c>
      <c r="P54">
        <v>11</v>
      </c>
      <c r="Q54" s="45">
        <v>2958465</v>
      </c>
    </row>
    <row r="55" spans="1:17">
      <c r="A55" s="269">
        <v>510</v>
      </c>
      <c r="B55" t="s">
        <v>1084</v>
      </c>
      <c r="C55" t="s">
        <v>1083</v>
      </c>
      <c r="D55" s="31" t="s">
        <v>1084</v>
      </c>
      <c r="F55" t="s">
        <v>820</v>
      </c>
      <c r="G55" s="48">
        <v>99</v>
      </c>
      <c r="H55">
        <v>81673</v>
      </c>
      <c r="I55" t="s">
        <v>54</v>
      </c>
      <c r="K55" s="283" t="s">
        <v>1085</v>
      </c>
      <c r="N55" t="s">
        <v>730</v>
      </c>
      <c r="P55">
        <v>2</v>
      </c>
      <c r="Q55" s="45">
        <v>2958465</v>
      </c>
    </row>
    <row r="56" spans="1:17">
      <c r="A56" s="269">
        <v>530</v>
      </c>
      <c r="B56" t="s">
        <v>823</v>
      </c>
      <c r="C56" t="s">
        <v>824</v>
      </c>
      <c r="D56" s="31" t="s">
        <v>825</v>
      </c>
      <c r="E56" t="s">
        <v>824</v>
      </c>
      <c r="F56" t="s">
        <v>250</v>
      </c>
      <c r="G56" s="48">
        <v>91</v>
      </c>
      <c r="H56">
        <v>81673</v>
      </c>
      <c r="I56" t="s">
        <v>54</v>
      </c>
      <c r="L56" s="284" t="s">
        <v>919</v>
      </c>
      <c r="N56" t="s">
        <v>969</v>
      </c>
      <c r="O56" t="s">
        <v>1232</v>
      </c>
      <c r="P56">
        <v>2.5</v>
      </c>
      <c r="Q56" s="45">
        <v>2958465</v>
      </c>
    </row>
    <row r="57" spans="1:17">
      <c r="A57" s="269">
        <v>550</v>
      </c>
      <c r="B57" t="s">
        <v>827</v>
      </c>
      <c r="C57" t="s">
        <v>828</v>
      </c>
      <c r="D57" s="31" t="s">
        <v>829</v>
      </c>
      <c r="E57" t="s">
        <v>828</v>
      </c>
      <c r="F57" t="s">
        <v>820</v>
      </c>
      <c r="G57" s="48">
        <v>65</v>
      </c>
      <c r="H57">
        <v>81673</v>
      </c>
      <c r="I57" t="s">
        <v>54</v>
      </c>
      <c r="K57" s="283" t="s">
        <v>911</v>
      </c>
      <c r="L57" s="284" t="s">
        <v>913</v>
      </c>
      <c r="P57">
        <v>2.5</v>
      </c>
      <c r="Q57" s="45">
        <v>2958465</v>
      </c>
    </row>
    <row r="58" spans="1:17">
      <c r="A58" s="269">
        <v>551</v>
      </c>
      <c r="B58" t="s">
        <v>837</v>
      </c>
      <c r="C58" t="s">
        <v>838</v>
      </c>
      <c r="D58" s="31" t="s">
        <v>837</v>
      </c>
      <c r="E58" t="s">
        <v>839</v>
      </c>
      <c r="F58" t="s">
        <v>840</v>
      </c>
      <c r="G58" s="48">
        <v>14</v>
      </c>
      <c r="H58">
        <v>81671</v>
      </c>
      <c r="I58" t="s">
        <v>54</v>
      </c>
      <c r="K58" s="283" t="s">
        <v>912</v>
      </c>
      <c r="L58" s="284" t="s">
        <v>914</v>
      </c>
      <c r="N58" t="s">
        <v>730</v>
      </c>
      <c r="O58" t="s">
        <v>841</v>
      </c>
      <c r="P58">
        <v>3.5</v>
      </c>
      <c r="Q58" s="45">
        <v>2958465</v>
      </c>
    </row>
    <row r="59" spans="1:17">
      <c r="A59" s="269">
        <v>552</v>
      </c>
      <c r="B59" t="s">
        <v>1020</v>
      </c>
      <c r="C59" t="s">
        <v>1021</v>
      </c>
      <c r="D59" s="31" t="s">
        <v>1020</v>
      </c>
      <c r="F59" t="s">
        <v>1022</v>
      </c>
      <c r="G59" s="48">
        <v>15</v>
      </c>
      <c r="H59">
        <v>81829</v>
      </c>
      <c r="I59" t="s">
        <v>54</v>
      </c>
      <c r="K59" s="283" t="s">
        <v>1023</v>
      </c>
      <c r="N59" t="s">
        <v>730</v>
      </c>
      <c r="P59">
        <v>5.5</v>
      </c>
      <c r="Q59" s="45">
        <v>2958465</v>
      </c>
    </row>
    <row r="60" spans="1:17">
      <c r="A60" s="269">
        <v>570</v>
      </c>
      <c r="B60" t="s">
        <v>982</v>
      </c>
      <c r="C60" t="s">
        <v>983</v>
      </c>
      <c r="D60" s="31" t="s">
        <v>890</v>
      </c>
      <c r="E60" t="s">
        <v>984</v>
      </c>
      <c r="F60" t="s">
        <v>891</v>
      </c>
      <c r="G60" s="48">
        <v>231</v>
      </c>
      <c r="H60">
        <v>81827</v>
      </c>
      <c r="I60" t="s">
        <v>54</v>
      </c>
      <c r="K60" s="283" t="s">
        <v>922</v>
      </c>
      <c r="N60" t="s">
        <v>985</v>
      </c>
      <c r="P60">
        <v>6.5</v>
      </c>
      <c r="Q60" s="45">
        <v>2958465</v>
      </c>
    </row>
    <row r="61" spans="1:17">
      <c r="A61" s="269">
        <v>580</v>
      </c>
      <c r="B61" t="s">
        <v>1101</v>
      </c>
      <c r="C61" t="s">
        <v>1102</v>
      </c>
      <c r="D61" s="31" t="s">
        <v>1103</v>
      </c>
      <c r="F61" t="s">
        <v>1104</v>
      </c>
      <c r="G61" s="48">
        <v>23</v>
      </c>
      <c r="H61">
        <v>81671</v>
      </c>
      <c r="I61" t="s">
        <v>54</v>
      </c>
      <c r="N61" t="s">
        <v>1105</v>
      </c>
      <c r="P61">
        <v>3.5</v>
      </c>
      <c r="Q61" s="45">
        <v>2958465</v>
      </c>
    </row>
    <row r="62" spans="1:17">
      <c r="A62" s="269">
        <v>601</v>
      </c>
      <c r="B62" t="s">
        <v>320</v>
      </c>
      <c r="C62" t="s">
        <v>321</v>
      </c>
      <c r="D62" s="31" t="s">
        <v>322</v>
      </c>
      <c r="E62" t="s">
        <v>321</v>
      </c>
      <c r="F62" t="s">
        <v>323</v>
      </c>
      <c r="G62" s="48">
        <v>58</v>
      </c>
      <c r="H62">
        <v>81829</v>
      </c>
      <c r="I62" t="s">
        <v>54</v>
      </c>
      <c r="P62">
        <v>2</v>
      </c>
      <c r="Q62" s="45">
        <v>2958465</v>
      </c>
    </row>
    <row r="63" spans="1:17">
      <c r="A63" s="269">
        <v>602</v>
      </c>
      <c r="B63" t="s">
        <v>324</v>
      </c>
      <c r="C63" t="s">
        <v>325</v>
      </c>
      <c r="D63" s="31" t="s">
        <v>326</v>
      </c>
      <c r="E63" t="s">
        <v>327</v>
      </c>
      <c r="F63" t="s">
        <v>328</v>
      </c>
      <c r="G63" s="48">
        <v>15</v>
      </c>
      <c r="H63">
        <v>81673</v>
      </c>
      <c r="I63" t="s">
        <v>54</v>
      </c>
      <c r="L63" s="284" t="s">
        <v>329</v>
      </c>
      <c r="N63" t="s">
        <v>253</v>
      </c>
      <c r="P63">
        <v>2</v>
      </c>
      <c r="Q63" s="45">
        <v>2958465</v>
      </c>
    </row>
    <row r="64" spans="1:17">
      <c r="A64" s="269">
        <v>701</v>
      </c>
      <c r="B64" t="s">
        <v>70</v>
      </c>
      <c r="C64" t="s">
        <v>317</v>
      </c>
      <c r="E64" t="s">
        <v>317</v>
      </c>
      <c r="F64" t="s">
        <v>318</v>
      </c>
      <c r="G64" s="48">
        <v>8</v>
      </c>
      <c r="H64">
        <v>81829</v>
      </c>
      <c r="I64" t="s">
        <v>54</v>
      </c>
      <c r="N64" t="s">
        <v>319</v>
      </c>
      <c r="P64">
        <v>6</v>
      </c>
      <c r="Q64" s="45">
        <v>2958465</v>
      </c>
    </row>
    <row r="65" spans="1:17">
      <c r="A65" s="269">
        <v>801</v>
      </c>
      <c r="B65" t="s">
        <v>233</v>
      </c>
      <c r="C65" t="s">
        <v>408</v>
      </c>
      <c r="D65" s="31" t="s">
        <v>407</v>
      </c>
      <c r="E65" t="s">
        <v>408</v>
      </c>
      <c r="F65" t="s">
        <v>66</v>
      </c>
      <c r="G65" s="48">
        <v>71</v>
      </c>
      <c r="H65">
        <v>81673</v>
      </c>
      <c r="I65" t="s">
        <v>54</v>
      </c>
      <c r="J65" t="s">
        <v>198</v>
      </c>
      <c r="K65" s="283" t="s">
        <v>199</v>
      </c>
      <c r="L65" s="284" t="s">
        <v>200</v>
      </c>
      <c r="M65" s="30" t="s">
        <v>56</v>
      </c>
      <c r="N65" t="s">
        <v>628</v>
      </c>
      <c r="O65" t="s">
        <v>403</v>
      </c>
      <c r="P65">
        <v>1</v>
      </c>
      <c r="Q65" s="45">
        <v>2958465</v>
      </c>
    </row>
    <row r="66" spans="1:17">
      <c r="A66" s="269">
        <v>802</v>
      </c>
      <c r="B66" t="s">
        <v>232</v>
      </c>
      <c r="C66" t="s">
        <v>201</v>
      </c>
      <c r="D66" s="31" t="s">
        <v>58</v>
      </c>
      <c r="E66" t="s">
        <v>57</v>
      </c>
      <c r="F66" t="s">
        <v>67</v>
      </c>
      <c r="G66" s="48">
        <v>2</v>
      </c>
      <c r="H66">
        <v>81673</v>
      </c>
      <c r="I66" t="s">
        <v>54</v>
      </c>
      <c r="K66" s="283" t="s">
        <v>59</v>
      </c>
      <c r="N66" t="s">
        <v>482</v>
      </c>
      <c r="O66" t="s">
        <v>483</v>
      </c>
      <c r="P66">
        <v>4</v>
      </c>
      <c r="Q66" s="45">
        <v>2958465</v>
      </c>
    </row>
    <row r="67" spans="1:17">
      <c r="A67" s="269">
        <v>803</v>
      </c>
      <c r="B67" t="s">
        <v>230</v>
      </c>
      <c r="C67" t="s">
        <v>202</v>
      </c>
      <c r="D67" s="31" t="s">
        <v>203</v>
      </c>
      <c r="E67" t="s">
        <v>202</v>
      </c>
      <c r="F67" t="s">
        <v>204</v>
      </c>
      <c r="G67" s="48">
        <v>22</v>
      </c>
      <c r="H67">
        <v>80538</v>
      </c>
      <c r="I67" t="s">
        <v>54</v>
      </c>
      <c r="K67" s="283" t="s">
        <v>205</v>
      </c>
      <c r="L67" s="284" t="s">
        <v>206</v>
      </c>
      <c r="N67" t="s">
        <v>231</v>
      </c>
      <c r="P67">
        <v>6</v>
      </c>
      <c r="Q67" s="45">
        <v>2958465</v>
      </c>
    </row>
    <row r="68" spans="1:17">
      <c r="A68" s="269">
        <v>804</v>
      </c>
      <c r="B68" t="s">
        <v>229</v>
      </c>
      <c r="C68" t="s">
        <v>207</v>
      </c>
      <c r="D68" s="31" t="s">
        <v>208</v>
      </c>
      <c r="E68" t="s">
        <v>207</v>
      </c>
      <c r="F68" t="s">
        <v>209</v>
      </c>
      <c r="G68" s="48">
        <v>1</v>
      </c>
      <c r="H68">
        <v>85774</v>
      </c>
      <c r="I68" t="s">
        <v>210</v>
      </c>
      <c r="L68" s="284" t="s">
        <v>211</v>
      </c>
      <c r="N68" t="s">
        <v>197</v>
      </c>
      <c r="P68">
        <v>11</v>
      </c>
      <c r="Q68" s="45">
        <v>2958465</v>
      </c>
    </row>
    <row r="69" spans="1:17">
      <c r="A69" s="269">
        <v>900</v>
      </c>
      <c r="B69" t="s">
        <v>949</v>
      </c>
      <c r="C69" t="s">
        <v>950</v>
      </c>
      <c r="D69" s="31" t="s">
        <v>484</v>
      </c>
      <c r="E69" t="s">
        <v>951</v>
      </c>
      <c r="F69" t="s">
        <v>250</v>
      </c>
      <c r="G69" s="48">
        <v>60</v>
      </c>
      <c r="H69">
        <v>81673</v>
      </c>
      <c r="I69" t="s">
        <v>54</v>
      </c>
      <c r="K69" s="283" t="s">
        <v>952</v>
      </c>
      <c r="L69" s="284" t="s">
        <v>953</v>
      </c>
      <c r="N69" t="s">
        <v>954</v>
      </c>
      <c r="O69" t="s">
        <v>955</v>
      </c>
      <c r="P69">
        <v>2.7</v>
      </c>
      <c r="Q69" s="45">
        <v>2958465</v>
      </c>
    </row>
    <row r="70" spans="1:17">
      <c r="A70" s="269">
        <v>902</v>
      </c>
      <c r="B70" t="s">
        <v>762</v>
      </c>
      <c r="C70" t="s">
        <v>763</v>
      </c>
      <c r="D70" s="31" t="s">
        <v>762</v>
      </c>
      <c r="F70" t="s">
        <v>764</v>
      </c>
      <c r="G70" s="48">
        <v>72</v>
      </c>
      <c r="H70">
        <v>80799</v>
      </c>
      <c r="I70" t="s">
        <v>54</v>
      </c>
      <c r="K70" s="283" t="s">
        <v>765</v>
      </c>
      <c r="N70" t="s">
        <v>772</v>
      </c>
      <c r="P70">
        <v>8</v>
      </c>
      <c r="Q70" s="45">
        <v>2958465</v>
      </c>
    </row>
    <row r="71" spans="1:17">
      <c r="A71" s="269">
        <v>905</v>
      </c>
      <c r="B71" t="s">
        <v>780</v>
      </c>
      <c r="C71" t="s">
        <v>781</v>
      </c>
      <c r="D71" s="31" t="s">
        <v>782</v>
      </c>
      <c r="E71" t="s">
        <v>783</v>
      </c>
      <c r="F71" t="s">
        <v>784</v>
      </c>
      <c r="G71" s="48">
        <v>2</v>
      </c>
      <c r="H71">
        <v>81737</v>
      </c>
      <c r="I71" t="s">
        <v>54</v>
      </c>
      <c r="K71" s="283" t="s">
        <v>916</v>
      </c>
      <c r="L71" s="284" t="s">
        <v>917</v>
      </c>
      <c r="N71" t="s">
        <v>785</v>
      </c>
      <c r="P71">
        <v>3.5</v>
      </c>
      <c r="Q71" s="45">
        <v>2958465</v>
      </c>
    </row>
    <row r="72" spans="1:17">
      <c r="A72" s="269">
        <v>906</v>
      </c>
      <c r="B72" t="s">
        <v>1117</v>
      </c>
      <c r="C72" t="s">
        <v>1118</v>
      </c>
      <c r="D72" s="31" t="s">
        <v>1119</v>
      </c>
      <c r="F72" t="s">
        <v>1120</v>
      </c>
      <c r="G72" s="48">
        <v>40</v>
      </c>
      <c r="H72">
        <v>81675</v>
      </c>
      <c r="I72" t="s">
        <v>54</v>
      </c>
      <c r="K72" s="283" t="s">
        <v>1121</v>
      </c>
      <c r="P72">
        <v>3.5</v>
      </c>
      <c r="Q72" s="45">
        <v>2958465</v>
      </c>
    </row>
    <row r="73" spans="1:17">
      <c r="A73" s="269">
        <v>909</v>
      </c>
      <c r="B73" t="s">
        <v>880</v>
      </c>
      <c r="C73" t="s">
        <v>881</v>
      </c>
      <c r="D73" s="31" t="s">
        <v>882</v>
      </c>
      <c r="E73" t="s">
        <v>883</v>
      </c>
      <c r="F73" t="s">
        <v>884</v>
      </c>
      <c r="G73" s="48">
        <v>204</v>
      </c>
      <c r="H73">
        <v>81549</v>
      </c>
      <c r="I73" t="s">
        <v>54</v>
      </c>
      <c r="K73" s="283" t="s">
        <v>921</v>
      </c>
      <c r="L73" s="284" t="s">
        <v>920</v>
      </c>
      <c r="N73" t="s">
        <v>885</v>
      </c>
      <c r="O73" t="s">
        <v>886</v>
      </c>
      <c r="P73">
        <v>5</v>
      </c>
      <c r="Q73" s="45">
        <v>2958465</v>
      </c>
    </row>
    <row r="74" spans="1:17">
      <c r="A74" s="269">
        <v>910</v>
      </c>
      <c r="B74" t="s">
        <v>1131</v>
      </c>
      <c r="C74" t="s">
        <v>1132</v>
      </c>
      <c r="F74" t="s">
        <v>1133</v>
      </c>
      <c r="G74" s="48">
        <v>21</v>
      </c>
      <c r="K74" s="283" t="s">
        <v>1138</v>
      </c>
      <c r="N74" t="s">
        <v>1134</v>
      </c>
      <c r="P74">
        <v>5</v>
      </c>
      <c r="Q74" s="45">
        <v>2958465</v>
      </c>
    </row>
    <row r="75" spans="1:17">
      <c r="A75" s="269">
        <v>920</v>
      </c>
      <c r="B75" t="s">
        <v>286</v>
      </c>
      <c r="C75" t="s">
        <v>287</v>
      </c>
      <c r="D75" s="31" t="s">
        <v>288</v>
      </c>
      <c r="E75" t="s">
        <v>289</v>
      </c>
      <c r="F75" t="s">
        <v>290</v>
      </c>
      <c r="G75" s="48">
        <v>69</v>
      </c>
      <c r="H75">
        <v>81243</v>
      </c>
      <c r="I75" t="s">
        <v>54</v>
      </c>
      <c r="P75">
        <v>0</v>
      </c>
      <c r="Q75" s="45">
        <v>2958465</v>
      </c>
    </row>
  </sheetData>
  <sortState ref="A10:P76">
    <sortCondition ref="A10:A76"/>
  </sortState>
  <hyperlinks>
    <hyperlink ref="M65" r:id="rId1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Grafiken</vt:lpstr>
      <vt:lpstr>Gewinn</vt:lpstr>
      <vt:lpstr>Warenbestand</vt:lpstr>
      <vt:lpstr>Kasse</vt:lpstr>
      <vt:lpstr>OffenePosten</vt:lpstr>
      <vt:lpstr>Betriebseinnahmen</vt:lpstr>
      <vt:lpstr>B-Ausgaben-WE</vt:lpstr>
      <vt:lpstr>B-Ausgaben-Jaehrlich</vt:lpstr>
      <vt:lpstr>Ware-Verschenkt</vt:lpstr>
      <vt:lpstr>Steuer</vt:lpstr>
      <vt:lpstr>WerWannWas</vt:lpstr>
      <vt:lpstr>Kundenliste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2014-08-13T18:36:48Z</dcterms:modified>
</cp:coreProperties>
</file>